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18. RES Research PSCC 2026 Paper/oats_curtailment/"/>
    </mc:Choice>
  </mc:AlternateContent>
  <xr:revisionPtr revIDLastSave="559" documentId="114_{D301639E-74A8-4237-8286-F30DBF25EDD8}" xr6:coauthVersionLast="47" xr6:coauthVersionMax="47" xr10:uidLastSave="{46F7D6E9-C15A-4242-8634-B715D211DBF7}"/>
  <bookViews>
    <workbookView xWindow="-108" yWindow="-108" windowWidth="23256" windowHeight="13896" tabRatio="809" activeTab="8" xr2:uid="{00000000-000D-0000-FFFF-FFFF00000000}"/>
  </bookViews>
  <sheets>
    <sheet name="bus" sheetId="1" r:id="rId1"/>
    <sheet name="demand" sheetId="2" r:id="rId2"/>
    <sheet name="ts_PD" sheetId="11" r:id="rId3"/>
    <sheet name="ts_VOLL" sheetId="12" r:id="rId4"/>
    <sheet name="branch" sheetId="3" r:id="rId5"/>
    <sheet name="ts_Lmax" sheetId="13" r:id="rId6"/>
    <sheet name="transformer" sheetId="4" r:id="rId7"/>
    <sheet name="ts_TLmax" sheetId="14" r:id="rId8"/>
    <sheet name="generator" sheetId="8" r:id="rId9"/>
    <sheet name="ts_PGMINGEN" sheetId="18" r:id="rId10"/>
    <sheet name="ts_PGLB" sheetId="15" r:id="rId11"/>
    <sheet name="ts_PGUB" sheetId="16" r:id="rId12"/>
    <sheet name="ts_bid" sheetId="17" r:id="rId13"/>
    <sheet name="baseMVA" sheetId="9" r:id="rId14"/>
  </sheets>
  <externalReferences>
    <externalReference r:id="rId15"/>
  </externalReferences>
  <definedNames>
    <definedName name="_xlnm._FilterDatabase" localSheetId="4" hidden="1">branch!$A$1:$I$551</definedName>
    <definedName name="_xlnm._FilterDatabase" localSheetId="0" hidden="1">bus!$A$1:$E$447</definedName>
    <definedName name="_xlnm._FilterDatabase" localSheetId="1" hidden="1">demand!$A$1:$E$58</definedName>
    <definedName name="_xlnm._FilterDatabase" localSheetId="8" hidden="1">generator!$A$1:$R$295</definedName>
    <definedName name="solver_adj" localSheetId="2" hidden="1">ts_PD!$F$5:$G$5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ts_PD!$E$8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ts_PD!$E$7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R295" i="8" l="1"/>
  <c r="R294" i="8"/>
  <c r="R293" i="8"/>
  <c r="R292" i="8"/>
  <c r="R291" i="8"/>
  <c r="R290" i="8"/>
  <c r="R289" i="8"/>
  <c r="R288" i="8"/>
  <c r="Q288" i="8"/>
  <c r="R287" i="8"/>
  <c r="R286" i="8"/>
  <c r="R285" i="8"/>
  <c r="R284" i="8"/>
  <c r="R283" i="8"/>
  <c r="R282" i="8"/>
  <c r="R281" i="8"/>
  <c r="R280" i="8"/>
  <c r="R279" i="8"/>
  <c r="R278" i="8"/>
  <c r="R277" i="8"/>
  <c r="R276" i="8"/>
  <c r="R275" i="8"/>
  <c r="R274" i="8"/>
  <c r="R273" i="8"/>
  <c r="R272" i="8"/>
  <c r="R271" i="8"/>
  <c r="R270" i="8"/>
  <c r="R269" i="8"/>
  <c r="R268" i="8"/>
  <c r="Q268" i="8"/>
  <c r="R267" i="8"/>
  <c r="Q267" i="8"/>
  <c r="R266" i="8"/>
  <c r="R265" i="8"/>
  <c r="Q265" i="8"/>
  <c r="R264" i="8"/>
  <c r="R263" i="8"/>
  <c r="R262" i="8"/>
  <c r="Q262" i="8"/>
  <c r="R261" i="8"/>
  <c r="Q261" i="8"/>
  <c r="R260" i="8"/>
  <c r="Q260" i="8"/>
  <c r="R259" i="8"/>
  <c r="R258" i="8"/>
  <c r="R257" i="8"/>
  <c r="R256" i="8"/>
  <c r="R255" i="8"/>
  <c r="R254" i="8"/>
  <c r="R253" i="8"/>
  <c r="R252" i="8"/>
  <c r="R251" i="8"/>
  <c r="R250" i="8"/>
  <c r="R249" i="8"/>
  <c r="R248" i="8"/>
  <c r="R247" i="8"/>
  <c r="R246" i="8"/>
  <c r="R245" i="8"/>
  <c r="R244" i="8"/>
  <c r="Q244" i="8"/>
  <c r="R243" i="8"/>
  <c r="R242" i="8"/>
  <c r="R241" i="8"/>
  <c r="R240" i="8"/>
  <c r="R239" i="8"/>
  <c r="R238" i="8"/>
  <c r="R237" i="8"/>
  <c r="R236" i="8"/>
  <c r="R235" i="8"/>
  <c r="R234" i="8"/>
  <c r="R233" i="8"/>
  <c r="Q233" i="8"/>
  <c r="R232" i="8"/>
  <c r="Q232" i="8"/>
  <c r="R231" i="8"/>
  <c r="R230" i="8"/>
  <c r="R229" i="8"/>
  <c r="R228" i="8"/>
  <c r="R227" i="8"/>
  <c r="Q227" i="8"/>
  <c r="R226" i="8"/>
  <c r="R225" i="8"/>
  <c r="Q225" i="8"/>
  <c r="R224" i="8"/>
  <c r="Q224" i="8"/>
  <c r="R223" i="8"/>
  <c r="R222" i="8"/>
  <c r="R221" i="8"/>
  <c r="R220" i="8"/>
  <c r="R219" i="8"/>
  <c r="R218" i="8"/>
  <c r="R217" i="8"/>
  <c r="R216" i="8"/>
  <c r="R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8" i="8"/>
  <c r="R197" i="8"/>
  <c r="Q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R175" i="8"/>
  <c r="Q175" i="8"/>
  <c r="R174" i="8"/>
  <c r="R173" i="8"/>
  <c r="R172" i="8"/>
  <c r="R171" i="8"/>
  <c r="R170" i="8"/>
  <c r="Q170" i="8"/>
  <c r="R169" i="8"/>
  <c r="R168" i="8"/>
  <c r="Q168" i="8"/>
  <c r="R167" i="8"/>
  <c r="Q167" i="8"/>
  <c r="R166" i="8"/>
  <c r="R165" i="8"/>
  <c r="R164" i="8"/>
  <c r="Q164" i="8"/>
  <c r="R163" i="8"/>
  <c r="Q163" i="8"/>
  <c r="R162" i="8"/>
  <c r="Q162" i="8"/>
  <c r="R161" i="8"/>
  <c r="Q161" i="8"/>
  <c r="R160" i="8"/>
  <c r="Q160" i="8"/>
  <c r="R159" i="8"/>
  <c r="Q159" i="8"/>
  <c r="R158" i="8"/>
  <c r="R157" i="8"/>
  <c r="Q157" i="8"/>
  <c r="R156" i="8"/>
  <c r="Q156" i="8"/>
  <c r="R155" i="8"/>
  <c r="Q155" i="8"/>
  <c r="R154" i="8"/>
  <c r="R153" i="8"/>
  <c r="R152" i="8"/>
  <c r="R151" i="8"/>
  <c r="R150" i="8"/>
  <c r="R149" i="8"/>
  <c r="R148" i="8"/>
  <c r="R147" i="8"/>
  <c r="R146" i="8"/>
  <c r="R145" i="8"/>
  <c r="R144" i="8"/>
  <c r="R143" i="8"/>
  <c r="R142" i="8"/>
  <c r="R141" i="8"/>
  <c r="Q141" i="8"/>
  <c r="R140" i="8"/>
  <c r="R139" i="8"/>
  <c r="R138" i="8"/>
  <c r="R137" i="8"/>
  <c r="R136" i="8"/>
  <c r="R135" i="8"/>
  <c r="R134" i="8"/>
  <c r="R133" i="8"/>
  <c r="R132" i="8"/>
  <c r="R131" i="8"/>
  <c r="Q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Q117" i="8"/>
  <c r="R116" i="8"/>
  <c r="Q116" i="8"/>
  <c r="R115" i="8"/>
  <c r="R114" i="8"/>
  <c r="Q114" i="8"/>
  <c r="R113" i="8"/>
  <c r="Q113" i="8"/>
  <c r="R112" i="8"/>
  <c r="R111" i="8"/>
  <c r="R110" i="8"/>
  <c r="R109" i="8"/>
  <c r="Q109" i="8"/>
  <c r="R108" i="8"/>
  <c r="Q108" i="8"/>
  <c r="R107" i="8"/>
  <c r="R106" i="8"/>
  <c r="R105" i="8"/>
  <c r="R104" i="8"/>
  <c r="Q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Q91" i="8"/>
  <c r="R90" i="8"/>
  <c r="Q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Q40" i="8"/>
  <c r="R39" i="8"/>
  <c r="R38" i="8"/>
  <c r="R37" i="8"/>
  <c r="R36" i="8"/>
  <c r="R35" i="8"/>
  <c r="R34" i="8"/>
  <c r="Q34" i="8"/>
  <c r="R33" i="8"/>
  <c r="Q33" i="8"/>
  <c r="R32" i="8"/>
  <c r="Q32" i="8"/>
  <c r="R31" i="8"/>
  <c r="Q31" i="8"/>
  <c r="R30" i="8"/>
  <c r="Q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Q15" i="8"/>
  <c r="R14" i="8"/>
  <c r="Q14" i="8"/>
  <c r="R13" i="8"/>
  <c r="Q13" i="8"/>
  <c r="R12" i="8"/>
  <c r="Q12" i="8"/>
  <c r="R11" i="8"/>
  <c r="R10" i="8"/>
  <c r="R9" i="8"/>
  <c r="R8" i="8"/>
  <c r="R7" i="8"/>
  <c r="R6" i="8"/>
  <c r="R5" i="8"/>
  <c r="R4" i="8"/>
  <c r="R3" i="8"/>
  <c r="R2" i="8"/>
  <c r="B2" i="13" a="1"/>
  <c r="B2" i="13" s="1"/>
  <c r="B1" i="13" a="1"/>
  <c r="B1" i="13" s="1"/>
  <c r="I185" i="4"/>
  <c r="I184" i="4"/>
  <c r="I183" i="4"/>
  <c r="I182" i="4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G505" i="3"/>
  <c r="F505" i="3"/>
  <c r="E505" i="3"/>
  <c r="G504" i="3"/>
  <c r="F504" i="3"/>
  <c r="E504" i="3"/>
  <c r="G406" i="3"/>
  <c r="F406" i="3"/>
  <c r="E406" i="3"/>
  <c r="G405" i="3"/>
  <c r="F405" i="3"/>
  <c r="E405" i="3"/>
  <c r="G393" i="3"/>
  <c r="F393" i="3"/>
  <c r="E393" i="3"/>
  <c r="G392" i="3"/>
  <c r="F392" i="3"/>
  <c r="E392" i="3"/>
  <c r="G309" i="3"/>
  <c r="F309" i="3"/>
  <c r="E309" i="3"/>
  <c r="G308" i="3"/>
  <c r="F308" i="3"/>
  <c r="E308" i="3"/>
  <c r="G104" i="3"/>
  <c r="F104" i="3"/>
  <c r="E104" i="3"/>
  <c r="G103" i="3"/>
  <c r="F103" i="3"/>
  <c r="E103" i="3"/>
  <c r="B1" i="17" l="1" a="1"/>
  <c r="B1" i="17" s="1"/>
  <c r="B1" i="16" a="1"/>
  <c r="B1" i="16" s="1"/>
  <c r="B1" i="15" a="1"/>
  <c r="B1" i="15" s="1"/>
  <c r="B1" i="18" a="1"/>
  <c r="B1" i="18" s="1"/>
  <c r="B2" i="16" a="1"/>
  <c r="B2" i="16" s="1"/>
  <c r="B2" i="15" a="1"/>
  <c r="B2" i="15" s="1"/>
  <c r="B2" i="17" a="1"/>
  <c r="B2" i="17" s="1"/>
  <c r="B2" i="14" a="1"/>
  <c r="B2" i="14" s="1"/>
  <c r="B1" i="14" a="1"/>
  <c r="B1" i="14" s="1"/>
  <c r="B2" i="11" a="1"/>
  <c r="B2" i="11" s="1"/>
  <c r="B1" i="11" a="1"/>
  <c r="B1" i="11" s="1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tc={5000F297-809F-41F6-B3AB-F349592735FE}</author>
  </authors>
  <commentList>
    <comment ref="A2" authorId="0" shapeId="0" xr:uid="{5000F297-809F-41F6-B3AB-F349592735FE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 =Demand; Test SNSP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tc={3A9C4E29-8E11-4D3E-B1D1-32492B0B0C78}</author>
    <author>tc={CA172FA7-685B-43DF-9263-570648D2AC8E}</author>
    <author>tc={CAE7B849-D060-4299-AB1D-B3B934D6B709}</author>
    <author>tc={A9FB9B08-5785-43AA-B7EE-F1F078D469C8}</author>
    <author>tc={79A83861-13F0-43DA-B3C4-D9FE572E0809}</author>
    <author>tc={23285821-3CEF-46C0-B6F6-6DFA6F7F207A}</author>
    <author>tc={0CB4AEE9-DF7A-4754-8D11-0194C3399C3B}</author>
    <author>tc={CDB95027-5D4B-4FC1-B1BB-DBF2FB526079}</author>
    <author>tc={72F84ABB-A821-4503-9427-BCC4C0FF4756}</author>
    <author>tc={EC08CD65-0DAC-45C2-9306-6B02B718E0F4}</author>
    <author>tc={2A7016F9-2D73-4DA6-8E79-C554CCFB492C}</author>
    <author>tc={A09A1BD4-63E8-4972-9CC1-D04FF2F66C05}</author>
    <author>tc={D0D8826C-C92C-4073-80C6-5E294CC5FD6C}</author>
    <author>tc={5FC72B35-975C-4DC9-A486-6E2BB71BA91A}</author>
    <author>tc={7AD9E0B9-6FEE-4195-A3C8-77391E37F2E9}</author>
    <author>tc={E80C6B14-3E4E-44B5-B9CA-D45E4F54D4A5}</author>
    <author>tc={3E57A1E0-2541-44BB-8F0B-DE7F26EADD8A}</author>
    <author>tc={1E1A108C-8638-448E-BCD1-51B274AFF28E}</author>
    <author>tc={BA584528-724C-46E1-B229-EAED96B05BE4}</author>
    <author>tc={ADFFD22B-213F-4B5C-9D93-BC25202786F1}</author>
    <author>tc={D7024E1C-6017-4C99-B7AA-6F4D311E0E80}</author>
    <author>tc={F4397CAF-BE24-41B0-A502-0897C8DF55C6}</author>
    <author>tc={09660962-9A12-4046-A23C-3B4EC88A55A0}</author>
    <author>tc={8170A905-36EF-4B45-85F3-43B3481FBBD3}</author>
    <author>tc={C26F89B8-04EA-4F07-B612-4E88723DEF83}</author>
    <author>tc={03E15AA1-6594-419C-8060-FEEC9F911274}</author>
    <author>tc={52BD8C2F-B4B8-411E-8464-CB063F01BE1A}</author>
    <author>tc={AC6BB7D7-5460-4481-9377-CBCC7022BE22}</author>
  </authors>
  <commentList>
    <comment ref="H1" authorId="0" shapeId="0" xr:uid="{3A9C4E29-8E11-4D3E-B1D1-32492B0B0C7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125% of continuous rating.</t>
      </text>
    </comment>
    <comment ref="D6" authorId="1" shapeId="0" xr:uid="{CA172FA7-685B-43DF-9263-570648D2AC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F10" authorId="2" shapeId="0" xr:uid="{CAE7B849-D060-4299-AB1D-B3B934D6B70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C31" authorId="3" shapeId="0" xr:uid="{A9FB9B08-5785-43AA-B7EE-F1F078D469C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Marked as LOD in TYTS, clearly linked to Lodgewood LWD).</t>
      </text>
    </comment>
    <comment ref="D96" authorId="4" shapeId="0" xr:uid="{79A83861-13F0-43DA-B3C4-D9FE572E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F109" authorId="5" shapeId="0" xr:uid="{23285821-3CEF-46C0-B6F6-6DFA6F7F207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B156" authorId="6" shapeId="0" xr:uid="{0CB4AEE9-DF7A-4754-8D11-0194C339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CTN (Cauteen)</t>
      </text>
    </comment>
    <comment ref="A157" authorId="7" shapeId="0" xr:uid="{CDB95027-5D4B-4FC1-B1BB-DBF2FB52607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CBA to CBL - Cloghboola is connected to Trien (TRI), no CBA on diagram.</t>
      </text>
    </comment>
    <comment ref="E162" authorId="8" shapeId="0" xr:uid="{72F84ABB-A821-4503-9427-BCC4C0FF4756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value</t>
      </text>
    </comment>
    <comment ref="E227" authorId="9" shapeId="0" xr:uid="{EC08CD65-0DAC-45C2-9306-6B02B718E0F4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R</t>
      </text>
    </comment>
    <comment ref="F227" authorId="10" shapeId="0" xr:uid="{2A7016F9-2D73-4DA6-8E79-C554CCFB492C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X</t>
      </text>
    </comment>
    <comment ref="E228" authorId="11" shapeId="0" xr:uid="{A09A1BD4-63E8-4972-9CC1-D04FF2F66C05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R</t>
      </text>
    </comment>
    <comment ref="E313" authorId="12" shapeId="0" xr:uid="{D0D8826C-C92C-4073-80C6-5E294CC5FD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F313" authorId="13" shapeId="0" xr:uid="{5FC72B35-975C-4DC9-A486-6E2BB71BA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G313" authorId="14" shapeId="0" xr:uid="{7AD9E0B9-6FEE-4195-A3C8-77391E37F2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I313" authorId="15" shapeId="0" xr:uid="{E80C6B14-3E4E-44B5-B9CA-D45E4F54D4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as line from RNW</t>
      </text>
    </comment>
    <comment ref="C330" authorId="16" shapeId="0" xr:uid="{3E57A1E0-2541-44BB-8F0B-DE7F26EADD8A}">
      <text>
        <t>[Threaded comment]
Your version of Excel allows you to read this threaded comment; however, any edits to it will get removed if the file is opened in a newer version of Excel. Learn more: https://go.microsoft.com/fwlink/?linkid=870924
Comment:
    Drumquin Cluster, connected to DRO and OMA</t>
      </text>
    </comment>
    <comment ref="D355" authorId="17" shapeId="0" xr:uid="{1E1A108C-8638-448E-BCD1-51B274AF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A389" authorId="18" shapeId="0" xr:uid="{BA584528-724C-46E1-B229-EAED96B05BE4}">
      <text>
        <t>[Threaded comment]
Your version of Excel allows you to read this threaded comment; however, any edits to it will get removed if the file is opened in a newer version of Excel. Learn more: https://go.microsoft.com/fwlink/?linkid=870924
Comment:
    Great Island -&gt; Loughtown (Greenlink) Link.</t>
      </text>
    </comment>
    <comment ref="E389" authorId="19" shapeId="0" xr:uid="{ADFFD22B-213F-4B5C-9D93-BC25202786F1}">
      <text>
        <t>[Threaded comment]
Your version of Excel allows you to read this threaded comment; however, any edits to it will get removed if the file is opened in a newer version of Excel. Learn more: https://go.microsoft.com/fwlink/?linkid=870924
Comment:
    Equal to 0, set very small.</t>
      </text>
    </comment>
    <comment ref="F389" authorId="20" shapeId="0" xr:uid="{D7024E1C-6017-4C99-B7AA-6F4D311E0E80}">
      <text>
        <t>[Threaded comment]
Your version of Excel allows you to read this threaded comment; however, any edits to it will get removed if the file is opened in a newer version of Excel. Learn more: https://go.microsoft.com/fwlink/?linkid=870924
Comment:
    Equal to 0, set very small.</t>
      </text>
    </comment>
    <comment ref="F450" authorId="21" shapeId="0" xr:uid="{F4397CAF-BE24-41B0-A502-0897C8DF5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G514" authorId="22" shapeId="0" xr:uid="{09660962-9A12-4046-A23C-3B4EC88A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I514" authorId="23" shapeId="0" xr:uid="{8170A905-36EF-4B45-85F3-43B3481FBBD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D560" authorId="24" shapeId="0" xr:uid="{C26F89B8-04EA-4F07-B612-4E88723DEF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F563" authorId="25" shapeId="0" xr:uid="{03E15AA1-6594-419C-8060-FEEC9F91127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F570" authorId="26" shapeId="0" xr:uid="{52BD8C2F-B4B8-411E-8464-CB063F01BE1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F591" authorId="27" shapeId="0" xr:uid="{AC6BB7D7-5460-4481-9377-CBCC7022BE2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tc={98315978-7E36-4C62-8195-616928A90145}</author>
    <author>tc={B6717718-51FB-42D2-8B63-D8EFFAD64CB8}</author>
    <author>tc={3F0062D0-C3D9-46C4-8DAF-BA7EA281C4B7}</author>
    <author>tc={D807F038-171F-48E2-BB7B-C12F7CC6E9E3}</author>
    <author>tc={E2B4D74F-A248-47BB-B0B2-CED4D254F577}</author>
  </authors>
  <commentList>
    <comment ref="EO1" authorId="0" shapeId="0" xr:uid="{98315978-7E36-4C62-8195-616928A9014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CBA to CBL - Cloghboola is connected to Trien (TRI), no CBA on diagram.</t>
      </text>
    </comment>
    <comment ref="MU1" authorId="1" shapeId="0" xr:uid="{B6717718-51FB-42D2-8B63-D8EFFAD64CB8}">
      <text>
        <t>[Threaded comment]
Your version of Excel allows you to read this threaded comment; however, any edits to it will get removed if the file is opened in a newer version of Excel. Learn more: https://go.microsoft.com/fwlink/?linkid=870924
Comment:
    Great Island -&gt; Loughtown (Greenlink) Link.</t>
      </text>
    </comment>
    <comment ref="RD2" authorId="2" shapeId="0" xr:uid="{3F0062D0-C3D9-46C4-8DAF-BA7EA281C4B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" authorId="3" shapeId="0" xr:uid="{D807F038-171F-48E2-BB7B-C12F7CC6E9E3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" authorId="4" shapeId="0" xr:uid="{E2B4D74F-A248-47BB-B0B2-CED4D254F57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tc={2D4104D5-7C13-4ECB-A86D-404ABCEC1FE8}</author>
    <author>Richard Nayer</author>
  </authors>
  <commentList>
    <comment ref="I1" authorId="0" shapeId="0" xr:uid="{2D4104D5-7C13-4ECB-A86D-404ABCEC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125% of continuous rating.</t>
      </text>
    </comment>
    <comment ref="F169" authorId="1" shapeId="0" xr:uid="{1F508921-A267-4E4B-9476-8F469924ABCA}">
      <text>
        <r>
          <rPr>
            <b/>
            <sz val="9"/>
            <color indexed="81"/>
            <rFont val="Tahoma"/>
            <family val="2"/>
          </rPr>
          <t>Richard Nayer:</t>
        </r>
        <r>
          <rPr>
            <sz val="9"/>
            <color indexed="81"/>
            <rFont val="Tahoma"/>
            <family val="2"/>
          </rPr>
          <t xml:space="preserve">
Winding 1-2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tc={6BFC5A5C-9BEF-4CEF-927A-CD3DB1510EAE}</author>
    <author>tc={AE0C8273-9F1F-4323-8B3D-3F16C8273B70}</author>
    <author>tc={A9534043-F3A1-4822-B49D-220B8B90D1BC}</author>
    <author>tc={85B9955E-75A3-4649-AD06-C97F6FC08BEA}</author>
    <author>tc={B0A7061B-70D4-4A7E-9E33-3B384A503159}</author>
    <author>tc={C693DDA9-3BD0-4B92-A8FE-4F720A74D55F}</author>
    <author>tc={7D62AB9C-E7AF-49F6-81ED-C76E12B2B7C5}</author>
    <author>tc={7740BF8C-E3F1-466C-B3D5-CC1A9606A974}</author>
    <author>tc={EA1DB443-3007-4948-9EC3-C7831E5DE55B}</author>
    <author>tc={A33D9A93-612D-4035-AD2B-58F6951C6620}</author>
    <author>tc={AC85D097-00EC-4687-813D-73BA8B4F6E54}</author>
    <author>tc={803CFC99-8311-41B9-A828-F491D1F128F9}</author>
    <author>tc={6B600A07-097C-4D39-8AB5-87DD1B59134E}</author>
  </authors>
  <commentList>
    <comment ref="J4" authorId="0" shapeId="0" xr:uid="{6BFC5A5C-9BEF-4CEF-927A-CD3DB151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interconnector under construction.</t>
      </text>
    </comment>
    <comment ref="Q28" authorId="1" shapeId="0" xr:uid="{AE0C8273-9F1F-4323-8B3D-3F16C8273B7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29" authorId="2" shapeId="0" xr:uid="{A9534043-F3A1-4822-B49D-220B8B90D1B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J40" authorId="3" shapeId="0" xr:uid="{85B9955E-75A3-4649-AD06-C97F6FC08BE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J113" authorId="4" shapeId="0" xr:uid="{B0A7061B-70D4-4A7E-9E33-3B384A5031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J114" authorId="5" shapeId="0" xr:uid="{C693DDA9-3BD0-4B92-A8FE-4F720A74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Q121" authorId="6" shapeId="0" xr:uid="{7D62AB9C-E7AF-49F6-81ED-C76E12B2B7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J170" authorId="7" shapeId="0" xr:uid="{7740BF8C-E3F1-466C-B3D5-CC1A9606A9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Q245" authorId="8" shapeId="0" xr:uid="{EA1DB443-3007-4948-9EC3-C7831E5DE55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284" authorId="9" shapeId="0" xr:uid="{A33D9A93-612D-4035-AD2B-58F6951C6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285" authorId="10" shapeId="0" xr:uid="{AC85D097-00EC-4687-813D-73BA8B4F6E5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286" authorId="11" shapeId="0" xr:uid="{803CFC99-8311-41B9-A828-F491D1F128F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287" authorId="12" shapeId="0" xr:uid="{6B600A07-097C-4D39-8AB5-87DD1B59134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<sst xmlns="http://schemas.openxmlformats.org/spreadsheetml/2006/main" count="9907" uniqueCount="3168">
  <si>
    <t>name</t>
  </si>
  <si>
    <t>baseKV</t>
  </si>
  <si>
    <t>type</t>
  </si>
  <si>
    <t>zone</t>
  </si>
  <si>
    <t>busname</t>
  </si>
  <si>
    <t>real</t>
  </si>
  <si>
    <t>stat</t>
  </si>
  <si>
    <t>VOLL</t>
  </si>
  <si>
    <t>from_busname</t>
  </si>
  <si>
    <t>to_busname</t>
  </si>
  <si>
    <t>r</t>
  </si>
  <si>
    <t>x</t>
  </si>
  <si>
    <t>b</t>
  </si>
  <si>
    <t>ShortTermRating</t>
  </si>
  <si>
    <t>ContinousRating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</si>
  <si>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</si>
  <si>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</si>
  <si>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</si>
  <si>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</si>
  <si>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</si>
  <si>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</si>
  <si>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</si>
  <si>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</si>
  <si>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</si>
  <si>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lifo_group</t>
  </si>
  <si>
    <t>lifo_position</t>
  </si>
  <si>
    <t>prorata_groups</t>
  </si>
  <si>
    <t>synchronous</t>
  </si>
  <si>
    <t>No</t>
  </si>
  <si>
    <t>200</t>
  </si>
  <si>
    <t>Yes</t>
  </si>
  <si>
    <t>timestep</t>
  </si>
  <si>
    <t>0.0023</t>
  </si>
  <si>
    <t>Individual</t>
  </si>
  <si>
    <t>t-1</t>
  </si>
  <si>
    <t>MUON_group</t>
  </si>
  <si>
    <t>AA_I_Z_110</t>
  </si>
  <si>
    <t>Ardnacrusha_110kV</t>
  </si>
  <si>
    <t>110</t>
  </si>
  <si>
    <t>I</t>
  </si>
  <si>
    <t>AA1_I_Z_110</t>
  </si>
  <si>
    <t>AD_I_Z_110</t>
  </si>
  <si>
    <t>Aghada_110kV</t>
  </si>
  <si>
    <t>AD_I_Z_220</t>
  </si>
  <si>
    <t>Aghada_220kV</t>
  </si>
  <si>
    <t>220</t>
  </si>
  <si>
    <t>ADM_I_Z_110</t>
  </si>
  <si>
    <t>Adamstown_110kV</t>
  </si>
  <si>
    <t>AGH_N_Z_110</t>
  </si>
  <si>
    <t>Aghyoule_110kV</t>
  </si>
  <si>
    <t>N</t>
  </si>
  <si>
    <t>AGH_N_Z_33</t>
  </si>
  <si>
    <t>Aghyoule_33kV</t>
  </si>
  <si>
    <t>33</t>
  </si>
  <si>
    <t>AGL_I_Z_110</t>
  </si>
  <si>
    <t>Agannygal_110kV</t>
  </si>
  <si>
    <t>AGN_I_Z_110</t>
  </si>
  <si>
    <t>AHA_I_Z_110</t>
  </si>
  <si>
    <t>Ahane_110kV</t>
  </si>
  <si>
    <t>AIR_N_Z_33</t>
  </si>
  <si>
    <t>ANR_I_Z_110</t>
  </si>
  <si>
    <t>Anner_110kV</t>
  </si>
  <si>
    <t>ANT_N_Z_110</t>
  </si>
  <si>
    <t>Antrim_110kV</t>
  </si>
  <si>
    <t>ANT_N_Z_33</t>
  </si>
  <si>
    <t>Antrim_33kV</t>
  </si>
  <si>
    <t>ARD_I_Z_110</t>
  </si>
  <si>
    <t>Ardnagappary_110kV</t>
  </si>
  <si>
    <t>ARI_I_T_110</t>
  </si>
  <si>
    <t>Arigna_110kV_Tee</t>
  </si>
  <si>
    <t>ARI_I_Z_110</t>
  </si>
  <si>
    <t>Arigna_110kV</t>
  </si>
  <si>
    <t>ARK_I_Z_110</t>
  </si>
  <si>
    <t>Arklow_110kV</t>
  </si>
  <si>
    <t>ARK_I_Z_220</t>
  </si>
  <si>
    <t>Arklow_220kV</t>
  </si>
  <si>
    <t>ART_I_Z_110</t>
  </si>
  <si>
    <t>Artane_110kV</t>
  </si>
  <si>
    <t>ARV_I_Z_110</t>
  </si>
  <si>
    <t>Arva_110kV</t>
  </si>
  <si>
    <t>ATE_I_Z_110</t>
  </si>
  <si>
    <t>Athea_110kV</t>
  </si>
  <si>
    <t>ATH_I_Z_110</t>
  </si>
  <si>
    <t>Athlone_110kV</t>
  </si>
  <si>
    <t>ATN_I_Z_110</t>
  </si>
  <si>
    <t>Airton_110kV</t>
  </si>
  <si>
    <t>ATY_I_Z_110</t>
  </si>
  <si>
    <t>Athy_110kV</t>
  </si>
  <si>
    <t>AUG_I_Z_110</t>
  </si>
  <si>
    <t>Aughinish_110kV</t>
  </si>
  <si>
    <t>BAL_I_Z_110</t>
  </si>
  <si>
    <t>Baltrasna_110kV</t>
  </si>
  <si>
    <t>BAN_I_Z_110</t>
  </si>
  <si>
    <t>Bandon_110kV</t>
  </si>
  <si>
    <t>BAN_N_Z_110</t>
  </si>
  <si>
    <t>Banbridge_110kV</t>
  </si>
  <si>
    <t>BAN_N_Z_33</t>
  </si>
  <si>
    <t>Banbridge_33kV</t>
  </si>
  <si>
    <t>BAR_I_T_110</t>
  </si>
  <si>
    <t>Barrymore_110kV_Tee</t>
  </si>
  <si>
    <t>BAR_I_Z_110</t>
  </si>
  <si>
    <t>Barrymore_110kV</t>
  </si>
  <si>
    <t>BCT_I_Z_110</t>
  </si>
  <si>
    <t>Bancroft_110kV</t>
  </si>
  <si>
    <t>BDA_I_Z_110</t>
  </si>
  <si>
    <t>Baroda_110kV</t>
  </si>
  <si>
    <t>BDN_I_Z_110</t>
  </si>
  <si>
    <t>Ballydine_110kV</t>
  </si>
  <si>
    <t>BEG_I_Z_110</t>
  </si>
  <si>
    <t>Ballybeg_110kV</t>
  </si>
  <si>
    <t>BGH_I_Z_110</t>
  </si>
  <si>
    <t>Boggeragh_110kV</t>
  </si>
  <si>
    <t>BGN_I_Z_110</t>
  </si>
  <si>
    <t>Bogtown_110kV</t>
  </si>
  <si>
    <t>BIN_I_Z_110</t>
  </si>
  <si>
    <t>Binbane_110kV</t>
  </si>
  <si>
    <t>BK_I_Z_110</t>
  </si>
  <si>
    <t>Bellacorick_110kV</t>
  </si>
  <si>
    <t>BKM_I_Z_110</t>
  </si>
  <si>
    <t>Bunkimalta_110kV</t>
  </si>
  <si>
    <t>BKT_I_Z_110</t>
  </si>
  <si>
    <t>BKY_I_Z_110</t>
  </si>
  <si>
    <t>Barnakyle_110kV</t>
  </si>
  <si>
    <t>BLA_I_Z_110</t>
  </si>
  <si>
    <t>Blackrock_110kV</t>
  </si>
  <si>
    <t>BLC_I_Z_110</t>
  </si>
  <si>
    <t>Belcamp_110kV</t>
  </si>
  <si>
    <t>BLC_I_Z_220</t>
  </si>
  <si>
    <t>Belcamp_220kV</t>
  </si>
  <si>
    <t>BLI_I_Z_110</t>
  </si>
  <si>
    <t>Ballylickey_110kV</t>
  </si>
  <si>
    <t>BLK_I_Z_110</t>
  </si>
  <si>
    <t>Blake_110kV</t>
  </si>
  <si>
    <t>BLU_I_Z_110</t>
  </si>
  <si>
    <t>Blundelstown_110kV</t>
  </si>
  <si>
    <t>BMA_N_Z_110</t>
  </si>
  <si>
    <t>Ballymena_110kV</t>
  </si>
  <si>
    <t>BMA_N_Z_33</t>
  </si>
  <si>
    <t>Ballymena_33kV</t>
  </si>
  <si>
    <t>BNH_N_Z_110</t>
  </si>
  <si>
    <t>Ballynahinch_110kV</t>
  </si>
  <si>
    <t>BNH_N_Z_33</t>
  </si>
  <si>
    <t>Ballynahinch_33kV</t>
  </si>
  <si>
    <t>BNM_N_Z_110</t>
  </si>
  <si>
    <t>Belfast North_110kV</t>
  </si>
  <si>
    <t>BNM_N_Z_33</t>
  </si>
  <si>
    <t>Belfast North_33kV</t>
  </si>
  <si>
    <t>BOG_I_Z_110</t>
  </si>
  <si>
    <t>Banoge_110kV</t>
  </si>
  <si>
    <t>BOL_I_Z_110</t>
  </si>
  <si>
    <t>Booltiagh_110kV</t>
  </si>
  <si>
    <t>BPS_N_Z_110</t>
  </si>
  <si>
    <t>Ballylumford Power Station_110kV</t>
  </si>
  <si>
    <t>BPS_N_Z_275</t>
  </si>
  <si>
    <t>Ballylumford Power Station_275kV</t>
  </si>
  <si>
    <t>275</t>
  </si>
  <si>
    <t>BRI_I_Z_110</t>
  </si>
  <si>
    <t>BRO_N_Z_110</t>
  </si>
  <si>
    <t>Brockaghboy_110kV</t>
  </si>
  <si>
    <t>BRO_N_Z_33</t>
  </si>
  <si>
    <t>Brockaghboy_33kV</t>
  </si>
  <si>
    <t>BRY_I_Z_110</t>
  </si>
  <si>
    <t>Barnahely_110kV</t>
  </si>
  <si>
    <t>BTN_I_Z_220</t>
  </si>
  <si>
    <t>Bracetown_220kV</t>
  </si>
  <si>
    <t>BUF_I_Z_110</t>
  </si>
  <si>
    <t>Buffy_110kV</t>
  </si>
  <si>
    <t>BUT_I_Z_110</t>
  </si>
  <si>
    <t>Butlerstown_110kV</t>
  </si>
  <si>
    <t>BVG_N_Z_110</t>
  </si>
  <si>
    <t>Ballyvallagh_110kV</t>
  </si>
  <si>
    <t>BVK_I_Z_110</t>
  </si>
  <si>
    <t>Ballyvouskill_110kV</t>
  </si>
  <si>
    <t>BVK_I_Z_220</t>
  </si>
  <si>
    <t>Ballyvouskill_220kV</t>
  </si>
  <si>
    <t>BWR_I_Z_110</t>
  </si>
  <si>
    <t>Ballywater_110kV</t>
  </si>
  <si>
    <t>BYC_N_Z_275</t>
  </si>
  <si>
    <t>Ballycronan More (Moyle)_275kV</t>
  </si>
  <si>
    <t>BYH_I_Z_110</t>
  </si>
  <si>
    <t>Ballynahulla_110kV</t>
  </si>
  <si>
    <t>BYH_I_Z_220</t>
  </si>
  <si>
    <t>Ballynahulla_220kV</t>
  </si>
  <si>
    <t>CAB_I_Z_110</t>
  </si>
  <si>
    <t>Cabra_110kV</t>
  </si>
  <si>
    <t>CAD_Y_Z_110</t>
  </si>
  <si>
    <t>#Not Solved Yet_110kV</t>
  </si>
  <si>
    <t>Y</t>
  </si>
  <si>
    <t>CAH_I_Z_110</t>
  </si>
  <si>
    <t>Cahir_110kV</t>
  </si>
  <si>
    <t>CAR_N_Z_110</t>
  </si>
  <si>
    <t>Carnmoney_110kV</t>
  </si>
  <si>
    <t>CAR_N_Z_33</t>
  </si>
  <si>
    <t>Carnmoney_33kV</t>
  </si>
  <si>
    <t>CAS_N_Z_110</t>
  </si>
  <si>
    <t>Castlereagh_110kV</t>
  </si>
  <si>
    <t>CAS_N_Z_275</t>
  </si>
  <si>
    <t>Castlereagh_275kV</t>
  </si>
  <si>
    <t>CBG_I_Z_110</t>
  </si>
  <si>
    <t>Carrowbeg_110kV</t>
  </si>
  <si>
    <t>CBL_I_Z_110</t>
  </si>
  <si>
    <t>Cloghboola_110kV</t>
  </si>
  <si>
    <t>CBR_I_Z_110</t>
  </si>
  <si>
    <t>Castlebar_110kV</t>
  </si>
  <si>
    <t>CBT_I_Z_110</t>
  </si>
  <si>
    <t>Castlebagot_110kV</t>
  </si>
  <si>
    <t>CBT_I_Z_220</t>
  </si>
  <si>
    <t>Castlebagot_220kV</t>
  </si>
  <si>
    <t>CD_I_Z_110</t>
  </si>
  <si>
    <t>Carrigadrohid_110kV</t>
  </si>
  <si>
    <t>CDK_I_Z_110</t>
  </si>
  <si>
    <t>Castledockrill_110kV</t>
  </si>
  <si>
    <t>CDL_I_Z_110</t>
  </si>
  <si>
    <t>Cordal_110kV</t>
  </si>
  <si>
    <t>CDN_I_Z_110</t>
  </si>
  <si>
    <t>Carrigdangan_110kV</t>
  </si>
  <si>
    <t>CDU_I_Z_110</t>
  </si>
  <si>
    <t>Corduff_110kV</t>
  </si>
  <si>
    <t>CDU_I_Z_220</t>
  </si>
  <si>
    <t>Corduff_220kV</t>
  </si>
  <si>
    <t>CDY_I_Z_110</t>
  </si>
  <si>
    <t>Corderry_110kV</t>
  </si>
  <si>
    <t>CEN_N_Z_110</t>
  </si>
  <si>
    <t>Belfast Central_110kV</t>
  </si>
  <si>
    <t>CEN_N_Z_33</t>
  </si>
  <si>
    <t>Belfast Central_33kV</t>
  </si>
  <si>
    <t>CF_I_Z_110</t>
  </si>
  <si>
    <t>Cathaleen’s Fall_110kV</t>
  </si>
  <si>
    <t>CFM_I_Z_110</t>
  </si>
  <si>
    <t>CGL_I_Z_110</t>
  </si>
  <si>
    <t>Coomagearlah_110kV</t>
  </si>
  <si>
    <t>CGW_I_Z_110</t>
  </si>
  <si>
    <t>CHA_I_Z_110</t>
  </si>
  <si>
    <t>Charleville_110kV</t>
  </si>
  <si>
    <t>CHE_I_Z_110</t>
  </si>
  <si>
    <t>Cherrywood_110kV</t>
  </si>
  <si>
    <t>CKG_I_Z_110</t>
  </si>
  <si>
    <t>Corkagh_110kV</t>
  </si>
  <si>
    <t>CKL_Y_Z_110</t>
  </si>
  <si>
    <t>CKM_I_Z_110</t>
  </si>
  <si>
    <t>Carrickmines_110kV</t>
  </si>
  <si>
    <t>CKM_I_Z_220</t>
  </si>
  <si>
    <t>Carrickmines_220kV</t>
  </si>
  <si>
    <t>CKN_I_Z_110</t>
  </si>
  <si>
    <t>Clonkeen_110kV</t>
  </si>
  <si>
    <t>CL_I_Z_110</t>
  </si>
  <si>
    <t>Cliff_110kV</t>
  </si>
  <si>
    <t>CLA_I_Z_110</t>
  </si>
  <si>
    <t>Clashavoon_110kV</t>
  </si>
  <si>
    <t>CLA_I_Z_220</t>
  </si>
  <si>
    <t>Clashavoon_220kV</t>
  </si>
  <si>
    <t>CLE_I_Z_220</t>
  </si>
  <si>
    <t>Clonee_220kV</t>
  </si>
  <si>
    <t>CLG_I_Z_110</t>
  </si>
  <si>
    <t>Cloghran_110kV</t>
  </si>
  <si>
    <t>CLH_I_Z_110</t>
  </si>
  <si>
    <t>Clahane_110kV</t>
  </si>
  <si>
    <t>CLN_I_Z_110</t>
  </si>
  <si>
    <t>Cloon_110kV</t>
  </si>
  <si>
    <t>CLO_I_Z_110</t>
  </si>
  <si>
    <t>Clogher_110kV</t>
  </si>
  <si>
    <t>CLU_I_Z_110</t>
  </si>
  <si>
    <t>CLW_I_Z_110</t>
  </si>
  <si>
    <t>Carlow_110kV</t>
  </si>
  <si>
    <t>CNG_I_Z_110</t>
  </si>
  <si>
    <t>Coolnanoonag_110kV</t>
  </si>
  <si>
    <t>COL_I_Z_110</t>
  </si>
  <si>
    <t>College Park_110kV</t>
  </si>
  <si>
    <t>COL_N_Z_110</t>
  </si>
  <si>
    <t>Coleraine_110kV</t>
  </si>
  <si>
    <t>COL_N_Z_33</t>
  </si>
  <si>
    <t>COO_I_Z_110</t>
  </si>
  <si>
    <t>Cookstown_110kV</t>
  </si>
  <si>
    <t>COR_I_Z_110</t>
  </si>
  <si>
    <t>Corraclassy_110kV</t>
  </si>
  <si>
    <t>COS_I_Z_110</t>
  </si>
  <si>
    <t>Carrick-on-Shannon_110kV</t>
  </si>
  <si>
    <t>COW_I_Z_110</t>
  </si>
  <si>
    <t>Cow Cross_110kV</t>
  </si>
  <si>
    <t>CPK_I_Z_110</t>
  </si>
  <si>
    <t>Central Park_110kV</t>
  </si>
  <si>
    <t>CPS_N_Z_110</t>
  </si>
  <si>
    <t>Coolkeeragh Power Station_110kV</t>
  </si>
  <si>
    <t>CPS_N_Z_275</t>
  </si>
  <si>
    <t>Coolkeeragh Power Station_275kV</t>
  </si>
  <si>
    <t>CPS_N_Z_33</t>
  </si>
  <si>
    <t>CRA_I_Z_110</t>
  </si>
  <si>
    <t>Crane_110kV</t>
  </si>
  <si>
    <t>CRE_N_Z_110</t>
  </si>
  <si>
    <t>Cregagh_110kV</t>
  </si>
  <si>
    <t>CRE_N_Z_33</t>
  </si>
  <si>
    <t>CRG_N_Z_110</t>
  </si>
  <si>
    <t>Creagh_110kV</t>
  </si>
  <si>
    <t>CRG_N_Z_33</t>
  </si>
  <si>
    <t>CRM_I_Z_110</t>
  </si>
  <si>
    <t>Cromcastle_110kV</t>
  </si>
  <si>
    <t>CRO_I_Z_110</t>
  </si>
  <si>
    <t>Coolroe_110kV</t>
  </si>
  <si>
    <t>CRR_N_Z_110</t>
  </si>
  <si>
    <t>CRR_N_Z_33</t>
  </si>
  <si>
    <t>CSH_I_Z_110</t>
  </si>
  <si>
    <t>Cashla_110kV</t>
  </si>
  <si>
    <t>CSH_I_Z_220</t>
  </si>
  <si>
    <t>Cashla_220kV</t>
  </si>
  <si>
    <t>CTG_I_Z_110</t>
  </si>
  <si>
    <t>CTN_I_Z_110</t>
  </si>
  <si>
    <t>Cauteen_110kV</t>
  </si>
  <si>
    <t>CTY_I_Z_110</t>
  </si>
  <si>
    <t>City West_110kV</t>
  </si>
  <si>
    <t>CUL_I_Z_110</t>
  </si>
  <si>
    <t>Cullenagh_110kV</t>
  </si>
  <si>
    <t>CUL_I_Z_220</t>
  </si>
  <si>
    <t>Cullenagh_220kV</t>
  </si>
  <si>
    <t>CUN_I_Z_110</t>
  </si>
  <si>
    <t>Cunghill_110kV</t>
  </si>
  <si>
    <t>CUR_I_Z_110</t>
  </si>
  <si>
    <t>Cureeny_110kV</t>
  </si>
  <si>
    <t>CUS_I_Z_110</t>
  </si>
  <si>
    <t>Cushaling_110kV</t>
  </si>
  <si>
    <t>CVW_I_Z_110</t>
  </si>
  <si>
    <t>Castleview_110kV</t>
  </si>
  <si>
    <t>DAL_I_T_110</t>
  </si>
  <si>
    <t>Dallow_110kV_Tee</t>
  </si>
  <si>
    <t>DAL_I_Z_110</t>
  </si>
  <si>
    <t>Dallow_110kV</t>
  </si>
  <si>
    <t>DDK_I_Z_110</t>
  </si>
  <si>
    <t>Dundalk_110kV</t>
  </si>
  <si>
    <t>DEE_I_Z_110</t>
  </si>
  <si>
    <t>DER_I_Z_110</t>
  </si>
  <si>
    <t>Derryiron_110kV</t>
  </si>
  <si>
    <t>DEY_I_Z_110</t>
  </si>
  <si>
    <t>Derrycarney_110kV</t>
  </si>
  <si>
    <t>DFR_I_T_110</t>
  </si>
  <si>
    <t>DFR_I_Z_110</t>
  </si>
  <si>
    <t>Dunfirth_110kV</t>
  </si>
  <si>
    <t>DGN_I_Z_110</t>
  </si>
  <si>
    <t>Dungarvan_110kV</t>
  </si>
  <si>
    <t>DKL_I_Z_110</t>
  </si>
  <si>
    <t>DLT_I_Z_110</t>
  </si>
  <si>
    <t>Dalton_110kV</t>
  </si>
  <si>
    <t>DMY_I_Z_110</t>
  </si>
  <si>
    <t>Dunmanway_110kV</t>
  </si>
  <si>
    <t>DON_N_Z_110</t>
  </si>
  <si>
    <t>Donegall_110kV</t>
  </si>
  <si>
    <t>DON_N_Z_33</t>
  </si>
  <si>
    <t>DOO_I_Z_110</t>
  </si>
  <si>
    <t>DRM_I_Z_110</t>
  </si>
  <si>
    <t>Drumkeen_110kV</t>
  </si>
  <si>
    <t>DRO_I_Z_110</t>
  </si>
  <si>
    <t>DRO_N_Z_110</t>
  </si>
  <si>
    <t>Dromore_110kV</t>
  </si>
  <si>
    <t>DRQ_N_Z_110</t>
  </si>
  <si>
    <t>Drumquin_110kV</t>
  </si>
  <si>
    <t>DRU_I_Z_110</t>
  </si>
  <si>
    <t>Drumline_110kV</t>
  </si>
  <si>
    <t>DRU_N_Z_110</t>
  </si>
  <si>
    <t>Drumnakelly_110kV</t>
  </si>
  <si>
    <t>DRU_N_Z_33</t>
  </si>
  <si>
    <t>DRY_I_Z_110</t>
  </si>
  <si>
    <t>Drybridge_110kV</t>
  </si>
  <si>
    <t>DSN_I_Z_220</t>
  </si>
  <si>
    <t>Dunstown_220kV</t>
  </si>
  <si>
    <t>DSN_I_Z_380</t>
  </si>
  <si>
    <t>Dunstown_380kV</t>
  </si>
  <si>
    <t>380</t>
  </si>
  <si>
    <t>DTN_I_Z_110</t>
  </si>
  <si>
    <t>Dardistown_110kV</t>
  </si>
  <si>
    <t>DUN_N_Z_110</t>
  </si>
  <si>
    <t>Dungannon_110kV</t>
  </si>
  <si>
    <t>DUN_N_Z_33</t>
  </si>
  <si>
    <t>DYN_I_Z_110</t>
  </si>
  <si>
    <t>EDE_N_Z_110</t>
  </si>
  <si>
    <t>EDE_N_Z_33</t>
  </si>
  <si>
    <t>ENN_I_Z_110</t>
  </si>
  <si>
    <t>Ennis_110kV</t>
  </si>
  <si>
    <t>ENN_N_Z_110</t>
  </si>
  <si>
    <t>Enniskillen_110kV</t>
  </si>
  <si>
    <t>ENN_N_Z_33</t>
  </si>
  <si>
    <t>FAS_I_Z_110</t>
  </si>
  <si>
    <t>Fassaroe_110kV</t>
  </si>
  <si>
    <t>FIN_I_Z_110</t>
  </si>
  <si>
    <t>Finglas_110kV</t>
  </si>
  <si>
    <t>FIN_I_Z_220</t>
  </si>
  <si>
    <t>Finglas_220kV</t>
  </si>
  <si>
    <t>FIN_N_Z_110</t>
  </si>
  <si>
    <t>Finaghy_110kV</t>
  </si>
  <si>
    <t>FIN_N_Z_33</t>
  </si>
  <si>
    <t>FLA_I_Z_110</t>
  </si>
  <si>
    <t>Flagford_110kV</t>
  </si>
  <si>
    <t>FLA_I_Z_220</t>
  </si>
  <si>
    <t>Flagford_220kV</t>
  </si>
  <si>
    <t>FRS_I_Z_110</t>
  </si>
  <si>
    <t>FTT_I_Z_110</t>
  </si>
  <si>
    <t>Fortunestown_110kV</t>
  </si>
  <si>
    <t>GAE_I_Z_110</t>
  </si>
  <si>
    <t>GAL_I_Z_110</t>
  </si>
  <si>
    <t>Galway_110kV</t>
  </si>
  <si>
    <t>GAN_I_Z_110</t>
  </si>
  <si>
    <t>Gallanstown_110kV</t>
  </si>
  <si>
    <t>GCA_I_Z_110</t>
  </si>
  <si>
    <t>Grange Castle_110kV</t>
  </si>
  <si>
    <t>GGO_I_Z_220</t>
  </si>
  <si>
    <t>Glanagow_220kV</t>
  </si>
  <si>
    <t>GI_I_Z_110</t>
  </si>
  <si>
    <t>Great Island_110kV</t>
  </si>
  <si>
    <t>GI_I_Z_220</t>
  </si>
  <si>
    <t>Great Island_220kV</t>
  </si>
  <si>
    <t>GIL_I_Z_110</t>
  </si>
  <si>
    <t>Gilra_110kV</t>
  </si>
  <si>
    <t>GLA_I_Z_110</t>
  </si>
  <si>
    <t>Glasmore_110kV</t>
  </si>
  <si>
    <t>GLE_I_Z_110</t>
  </si>
  <si>
    <t>Glenlara_110kV</t>
  </si>
  <si>
    <t>GLE_N_Z_110</t>
  </si>
  <si>
    <t>Glengormley_110kV</t>
  </si>
  <si>
    <t>GLE_N_Z_33</t>
  </si>
  <si>
    <t>GLR_I_Z_110</t>
  </si>
  <si>
    <t>Glenree_110kV</t>
  </si>
  <si>
    <t>LWN_I_Z_220</t>
  </si>
  <si>
    <t>Loughtown_220kV</t>
  </si>
  <si>
    <t>GOL_I_T_110</t>
  </si>
  <si>
    <t>Golagh_110kV_Tee</t>
  </si>
  <si>
    <t>GOL_I_Z_110</t>
  </si>
  <si>
    <t>Golagh_110kV</t>
  </si>
  <si>
    <t>GOR_I_Z_110</t>
  </si>
  <si>
    <t>Gorman_110kV</t>
  </si>
  <si>
    <t>GOR_I_Z_220</t>
  </si>
  <si>
    <t>Gorman_220kV</t>
  </si>
  <si>
    <t>GOR_N_Z_110</t>
  </si>
  <si>
    <t>GOR_N_Z_33</t>
  </si>
  <si>
    <t>GRA_I_Z_110</t>
  </si>
  <si>
    <t>Grange_110kV</t>
  </si>
  <si>
    <t>GRH_I_Z_110</t>
  </si>
  <si>
    <t>Garballagh_110kV</t>
  </si>
  <si>
    <t>GRI_I_T_110</t>
  </si>
  <si>
    <t>Griffinrath_110kV_Tee</t>
  </si>
  <si>
    <t>GRI_I_Z_110</t>
  </si>
  <si>
    <t>Griffinrath_110kV</t>
  </si>
  <si>
    <t>GRO_I_Z_110</t>
  </si>
  <si>
    <t>Garrow_110kV</t>
  </si>
  <si>
    <t>GRV_I_Z_110</t>
  </si>
  <si>
    <t>GWE_I_Z_110</t>
  </si>
  <si>
    <t>Gortawee_110kV</t>
  </si>
  <si>
    <t>HAN_N_Z_110</t>
  </si>
  <si>
    <t>Hannastown_110kV</t>
  </si>
  <si>
    <t>HAN_N_Z_275</t>
  </si>
  <si>
    <t>Hannastown_275kV</t>
  </si>
  <si>
    <t>HAR_I_Z_110</t>
  </si>
  <si>
    <t>Harolds Cross_110kV</t>
  </si>
  <si>
    <t>HEU_I_Z_110</t>
  </si>
  <si>
    <t>Heuston Square_110kV</t>
  </si>
  <si>
    <t>HN_I_Z_220</t>
  </si>
  <si>
    <t>Huntstown_220kV</t>
  </si>
  <si>
    <t>IA_I_Z_110</t>
  </si>
  <si>
    <t>Inniscarra_110kV</t>
  </si>
  <si>
    <t>IKE_I_T_110</t>
  </si>
  <si>
    <t>Ikerrin_110kV_Tee</t>
  </si>
  <si>
    <t>IKE_I_Z_110</t>
  </si>
  <si>
    <t>Ikerrin_110kV</t>
  </si>
  <si>
    <t>INC_I_Z_110</t>
  </si>
  <si>
    <t>Inchicore_110kV</t>
  </si>
  <si>
    <t>INC_I_Z_220</t>
  </si>
  <si>
    <t>Inchicore_220kV</t>
  </si>
  <si>
    <t>ISH_I_Z_220</t>
  </si>
  <si>
    <t>Irishtown_220kV</t>
  </si>
  <si>
    <t>KBY_I_Z_110</t>
  </si>
  <si>
    <t>Kilbarry_110kV</t>
  </si>
  <si>
    <t>KCR_I_Z_110</t>
  </si>
  <si>
    <t>Knockacummer_110kV</t>
  </si>
  <si>
    <t>KCY_I_Z_110</t>
  </si>
  <si>
    <t>KEL_N_Z_110</t>
  </si>
  <si>
    <t>Kells_110kV</t>
  </si>
  <si>
    <t>KEL_N_Z_275</t>
  </si>
  <si>
    <t>Kells_275kV</t>
  </si>
  <si>
    <t>KER_I_Z_110</t>
  </si>
  <si>
    <t>Knockearagh_110kV</t>
  </si>
  <si>
    <t>KHL_I_Z_110</t>
  </si>
  <si>
    <t>KIN_I_Z_110</t>
  </si>
  <si>
    <t>Kinnegad_110kV</t>
  </si>
  <si>
    <t>KKY_I_Z_110</t>
  </si>
  <si>
    <t>Kilkenny_110kV</t>
  </si>
  <si>
    <t>KLH_I_Z_110</t>
  </si>
  <si>
    <t>Knockalough_110kV</t>
  </si>
  <si>
    <t>KLM_I_Z_110</t>
  </si>
  <si>
    <t>Kilmore_110kV</t>
  </si>
  <si>
    <t>KLN_I_Z_110</t>
  </si>
  <si>
    <t>Killonan_110kV</t>
  </si>
  <si>
    <t>KLN_I_Z_220</t>
  </si>
  <si>
    <t>Killonan_220kV</t>
  </si>
  <si>
    <t>KLP_I_Z_110</t>
  </si>
  <si>
    <t>KLP_I_Z_220</t>
  </si>
  <si>
    <t>#Not Solved Yet_220kV</t>
  </si>
  <si>
    <t>KLS_I_Z_110</t>
  </si>
  <si>
    <t>Kellis_110kV</t>
  </si>
  <si>
    <t>KLS_I_Z_220</t>
  </si>
  <si>
    <t>Kellis_220kV</t>
  </si>
  <si>
    <t>KMT_N_Z_110</t>
  </si>
  <si>
    <t>Killymallaght_110kV</t>
  </si>
  <si>
    <t>KMT_N_Z_33</t>
  </si>
  <si>
    <t>KNO_N_Z_110</t>
  </si>
  <si>
    <t>KNO_N_Z_33</t>
  </si>
  <si>
    <t>KNR_I_Z_110</t>
  </si>
  <si>
    <t>Knockanure_110kV</t>
  </si>
  <si>
    <t>KNR_I_Z_220</t>
  </si>
  <si>
    <t>Knockanure_220kV</t>
  </si>
  <si>
    <t>KNY_I_Z_110</t>
  </si>
  <si>
    <t>Knockranny_110kV</t>
  </si>
  <si>
    <t>KPG_I_Z_110</t>
  </si>
  <si>
    <t>KPG_I_Z_220</t>
  </si>
  <si>
    <t>Kilpaddoge_220kV</t>
  </si>
  <si>
    <t>KPS_N_Z_275</t>
  </si>
  <si>
    <t>Kilroot Power Station_275kV</t>
  </si>
  <si>
    <t>KRA_I_Z_110</t>
  </si>
  <si>
    <t>Knockraha_110kV</t>
  </si>
  <si>
    <t>KRA_I_Z_220</t>
  </si>
  <si>
    <t>Knockraha_220kV</t>
  </si>
  <si>
    <t>KSE_I_Z_110</t>
  </si>
  <si>
    <t>KTL_I_Z_110</t>
  </si>
  <si>
    <t>Kilteel_110kV</t>
  </si>
  <si>
    <t>KTN_I_Z_110</t>
  </si>
  <si>
    <t>Killoteran_110kV</t>
  </si>
  <si>
    <t>KUD_I_Z_110</t>
  </si>
  <si>
    <t>Kilmahud_110kV</t>
  </si>
  <si>
    <t>KUR_I_Z_110</t>
  </si>
  <si>
    <t>Knockumber_110kV</t>
  </si>
  <si>
    <t>KYT_I_Z_220</t>
  </si>
  <si>
    <t>LA_I_Z_110</t>
  </si>
  <si>
    <t>Lanesboro_110kV</t>
  </si>
  <si>
    <t>LAR_N_Z_110</t>
  </si>
  <si>
    <t>LAR_N_Z_33</t>
  </si>
  <si>
    <t>LET_I_Z_110</t>
  </si>
  <si>
    <t>Letterkenny_110kV</t>
  </si>
  <si>
    <t>LGT_I_Z_110</t>
  </si>
  <si>
    <t>LIB_I_Z_110</t>
  </si>
  <si>
    <t>Liberty Street_110kV</t>
  </si>
  <si>
    <t>LIM_I_Z_110</t>
  </si>
  <si>
    <t>Limerick_110kV</t>
  </si>
  <si>
    <t>LIM_N_Z_110</t>
  </si>
  <si>
    <t>LIM_N_Z_33</t>
  </si>
  <si>
    <t>LIS_I_Z_110</t>
  </si>
  <si>
    <t>Lisdrum_110kV</t>
  </si>
  <si>
    <t>LIS_N_Z_110</t>
  </si>
  <si>
    <t>Lisburn_110kV</t>
  </si>
  <si>
    <t>LIS_N_Z_33</t>
  </si>
  <si>
    <t>LMR_N_Z_110</t>
  </si>
  <si>
    <t>LMR_N_Z_33</t>
  </si>
  <si>
    <t>LNA_I_Z_110</t>
  </si>
  <si>
    <t>LOG_N_Z_110</t>
  </si>
  <si>
    <t>LOG_N_Z_33</t>
  </si>
  <si>
    <t>LOU_I_Z_110</t>
  </si>
  <si>
    <t>Louth_110kV</t>
  </si>
  <si>
    <t>LOU_I_Z_220</t>
  </si>
  <si>
    <t>Louth_220kV</t>
  </si>
  <si>
    <t>LOU_I_Z_275</t>
  </si>
  <si>
    <t>Louth_275kV</t>
  </si>
  <si>
    <t>LPT_I_Z_220</t>
  </si>
  <si>
    <t>LSA_I_Z_110</t>
  </si>
  <si>
    <t>LSA_I_T_110</t>
  </si>
  <si>
    <t>Lislea_110kV_Tee</t>
  </si>
  <si>
    <t>LSN_I_Z_110</t>
  </si>
  <si>
    <t>Lisheen_110kV</t>
  </si>
  <si>
    <t>LWD_I_Z_110</t>
  </si>
  <si>
    <t>LWD_I_Z_220</t>
  </si>
  <si>
    <t>Lodgewood_220kV</t>
  </si>
  <si>
    <t>MAC_I_Z_110</t>
  </si>
  <si>
    <t>Macroom_110kV</t>
  </si>
  <si>
    <t>MAG_N_Z_275</t>
  </si>
  <si>
    <t>Magherafelt_275kV</t>
  </si>
  <si>
    <t>MAL_I_Z_110</t>
  </si>
  <si>
    <t>Mallow_110kV</t>
  </si>
  <si>
    <t>MAY_I_Z_110</t>
  </si>
  <si>
    <t>Maynooth_110kV</t>
  </si>
  <si>
    <t>MAY_I_Z_220</t>
  </si>
  <si>
    <t>Maynooth_220kV</t>
  </si>
  <si>
    <t>MCD_I_Z_110</t>
  </si>
  <si>
    <t>McDermott_110kV</t>
  </si>
  <si>
    <t>MCE_I_Z_110</t>
  </si>
  <si>
    <t>Macetown_110kV</t>
  </si>
  <si>
    <t>MEE_I_Z_110</t>
  </si>
  <si>
    <t>MEN_I_Z_110</t>
  </si>
  <si>
    <t>Monatooreen_110kV</t>
  </si>
  <si>
    <t>MHL_I_Z_110</t>
  </si>
  <si>
    <t>Misery Hill_110kV</t>
  </si>
  <si>
    <t>MID_I_Z_110</t>
  </si>
  <si>
    <t>Midleton_110kV</t>
  </si>
  <si>
    <t>MIL_I_Z_110</t>
  </si>
  <si>
    <t>Milltown_110kV</t>
  </si>
  <si>
    <t>MKL_N_Z_110</t>
  </si>
  <si>
    <t>Magherakeel Cluster_110kV</t>
  </si>
  <si>
    <t>MKL_N_Z_33</t>
  </si>
  <si>
    <t>MLC_I_Z_110</t>
  </si>
  <si>
    <t>Mountlucas_110kV</t>
  </si>
  <si>
    <t>MLN_I_Z_110</t>
  </si>
  <si>
    <t>Mullagharlin_110kV</t>
  </si>
  <si>
    <t>MNH_I_Z_110</t>
  </si>
  <si>
    <t>MON_I_Z_110</t>
  </si>
  <si>
    <t>Monread_110kV</t>
  </si>
  <si>
    <t>MOY_I_Z_110</t>
  </si>
  <si>
    <t>Moy_110kV</t>
  </si>
  <si>
    <t>MP_I_Z_110</t>
  </si>
  <si>
    <t>Moneypoint_110kV</t>
  </si>
  <si>
    <t>MP_I_Z_220</t>
  </si>
  <si>
    <t>Moneypoint_220kV</t>
  </si>
  <si>
    <t>MP_I_Z_380</t>
  </si>
  <si>
    <t>Moneypoint_380kV</t>
  </si>
  <si>
    <t>MR_I_Z_110</t>
  </si>
  <si>
    <t>Marina_110kV</t>
  </si>
  <si>
    <t>MRY_I_Z_110</t>
  </si>
  <si>
    <t>MTA_I_Z_110</t>
  </si>
  <si>
    <t>MTH_I_Z_110</t>
  </si>
  <si>
    <t>Meath Hill_110kV</t>
  </si>
  <si>
    <t>MTN_I_Z_110</t>
  </si>
  <si>
    <t>Moneteen_110kV</t>
  </si>
  <si>
    <t>MUL_I_Z_110</t>
  </si>
  <si>
    <t>Mullingar_110kV</t>
  </si>
  <si>
    <t>MUN_I_Z_110</t>
  </si>
  <si>
    <t>Mungret_110kV</t>
  </si>
  <si>
    <t>NAN_I_Z_110</t>
  </si>
  <si>
    <t>Nangor_110kV</t>
  </si>
  <si>
    <t>NAR_N_Z_110</t>
  </si>
  <si>
    <t>NAR_N_Z_33</t>
  </si>
  <si>
    <t>NAV_I_Z_110</t>
  </si>
  <si>
    <t>Navan_110kV</t>
  </si>
  <si>
    <t>NBY_I_Z_110</t>
  </si>
  <si>
    <t>Newbury_110kV</t>
  </si>
  <si>
    <t>NEN_I_Z_110</t>
  </si>
  <si>
    <t>NEW_I_Z_110</t>
  </si>
  <si>
    <t>Newbridge_110kV</t>
  </si>
  <si>
    <t>NEW_N_Z_110</t>
  </si>
  <si>
    <t>Newry_110kV</t>
  </si>
  <si>
    <t>NEW_N_Z_33</t>
  </si>
  <si>
    <t>NQS_I_Z_110</t>
  </si>
  <si>
    <t>North Quays_110kV</t>
  </si>
  <si>
    <t>NW_I_Z_220</t>
  </si>
  <si>
    <t>North Wall_220kV</t>
  </si>
  <si>
    <t>OBE_I_Z_110</t>
  </si>
  <si>
    <t>OLD_I_Z_110</t>
  </si>
  <si>
    <t>OMA_N_Z_110</t>
  </si>
  <si>
    <t>Omagh_110kV</t>
  </si>
  <si>
    <t>OMA_N_Z_33</t>
  </si>
  <si>
    <t>ONH_I_Z_110</t>
  </si>
  <si>
    <t>OST_I_Z_220</t>
  </si>
  <si>
    <t>Oldstreet_220kV</t>
  </si>
  <si>
    <t>OST_I_Z_380</t>
  </si>
  <si>
    <t>Oldstreet_380kV</t>
  </si>
  <si>
    <t>OUG_I_T_110</t>
  </si>
  <si>
    <t>Oughtragh_110kV_Tee</t>
  </si>
  <si>
    <t>OUG_I_Z_110</t>
  </si>
  <si>
    <t>Oughtragh_110kV</t>
  </si>
  <si>
    <t>PA_I_Z_110</t>
  </si>
  <si>
    <t>Pollaphuca_110kV</t>
  </si>
  <si>
    <t>PB_I_Z_110</t>
  </si>
  <si>
    <t>Poolbeg_110kV</t>
  </si>
  <si>
    <t>PB_I_Z_220</t>
  </si>
  <si>
    <t>Poolbeg_220kV</t>
  </si>
  <si>
    <t>PLA_I_Z_110</t>
  </si>
  <si>
    <t>Platin_110kV</t>
  </si>
  <si>
    <t>PLS_I_Z_110</t>
  </si>
  <si>
    <t>Portlaoise_110kV</t>
  </si>
  <si>
    <t>POP_I_Z_110</t>
  </si>
  <si>
    <t>Poppintree_110kV</t>
  </si>
  <si>
    <t>POT_I_Z_110</t>
  </si>
  <si>
    <t>PRO_I_Z_220</t>
  </si>
  <si>
    <t>Prospect_220kV</t>
  </si>
  <si>
    <t>PRT_I_Z_380</t>
  </si>
  <si>
    <t>Portan_380kV</t>
  </si>
  <si>
    <t>PTN_I_Z_110</t>
  </si>
  <si>
    <t>RAF_I_Z_110</t>
  </si>
  <si>
    <t>Rafef en_110kV</t>
  </si>
  <si>
    <t>RAF_I_Z_220</t>
  </si>
  <si>
    <t>Rafef en_220kV</t>
  </si>
  <si>
    <t>RAT_I_Z_110</t>
  </si>
  <si>
    <t>Rathkeale_110kV</t>
  </si>
  <si>
    <t>RAT_N_Z_110</t>
  </si>
  <si>
    <t>RAT_N_Z_33</t>
  </si>
  <si>
    <t>RE_I_Z_110</t>
  </si>
  <si>
    <t>Ringsend_110kV</t>
  </si>
  <si>
    <t>REM_I_Z_110</t>
  </si>
  <si>
    <t>Reamore_110kV</t>
  </si>
  <si>
    <t>RIC_I_Z_110</t>
  </si>
  <si>
    <t>Richmond_110kV</t>
  </si>
  <si>
    <t>RNW_I_Z_110</t>
  </si>
  <si>
    <t>Rinawade_110kV</t>
  </si>
  <si>
    <t>ROP_I_Z_110</t>
  </si>
  <si>
    <t>ROS_N_Z_110</t>
  </si>
  <si>
    <t>ROS_N_Z_33</t>
  </si>
  <si>
    <t>RRU_I_Z_110</t>
  </si>
  <si>
    <t>Ratrussan_110kV</t>
  </si>
  <si>
    <t>RSK_N_Z_110</t>
  </si>
  <si>
    <t>Rasharkin Cluster_110kV</t>
  </si>
  <si>
    <t>RSK_N_Z_33</t>
  </si>
  <si>
    <t>RSY_I_Z_110</t>
  </si>
  <si>
    <t>Ringaskiddy_110kV</t>
  </si>
  <si>
    <t>RTO_I_Z_110</t>
  </si>
  <si>
    <t>RYB_I_Z_110</t>
  </si>
  <si>
    <t>Ryebrook_110kV</t>
  </si>
  <si>
    <t>SAL_I_Z_110</t>
  </si>
  <si>
    <t>Salthill_110kV</t>
  </si>
  <si>
    <t>SBH_I_Z_110</t>
  </si>
  <si>
    <t>Snughborough_110kV</t>
  </si>
  <si>
    <t>SCR_I_Z_110</t>
  </si>
  <si>
    <t>Screeb_110kV</t>
  </si>
  <si>
    <t>SEE_I_Z_110</t>
  </si>
  <si>
    <t>SH_I_Z_110</t>
  </si>
  <si>
    <t>Shannonbridge_110kV</t>
  </si>
  <si>
    <t>SH_I_Z_220</t>
  </si>
  <si>
    <t>Shannonbridge_220kV</t>
  </si>
  <si>
    <t>SHE_I_Z_110</t>
  </si>
  <si>
    <t>SHL_I_Z_220</t>
  </si>
  <si>
    <t>Shellybanks_220kV</t>
  </si>
  <si>
    <t>SK_I_Z_110</t>
  </si>
  <si>
    <t>SKL_I_Z_110</t>
  </si>
  <si>
    <t>Shankill_110kV</t>
  </si>
  <si>
    <t>SKY_I_Z_110</t>
  </si>
  <si>
    <t>SLB_I_Z_110</t>
  </si>
  <si>
    <t>Sliabh Bawn_110kV</t>
  </si>
  <si>
    <t>SLC_I_Z_110</t>
  </si>
  <si>
    <t>SLI_I_Z_110</t>
  </si>
  <si>
    <t>Sligo_110kV</t>
  </si>
  <si>
    <t>SLK_N_Z_110</t>
  </si>
  <si>
    <t>Slieve Kirk_110kV</t>
  </si>
  <si>
    <t>SNG_I_Z_110</t>
  </si>
  <si>
    <t>Singland_110kV</t>
  </si>
  <si>
    <t>SOM_I_T_110</t>
  </si>
  <si>
    <t>Somerset_110kV_Tee</t>
  </si>
  <si>
    <t>SOM_I_Z_110</t>
  </si>
  <si>
    <t>Somerset_110kV</t>
  </si>
  <si>
    <t>SOR_I_Z_110</t>
  </si>
  <si>
    <t>Sorne Hill_110kV</t>
  </si>
  <si>
    <t>SPR_N_Z_110</t>
  </si>
  <si>
    <t>SPR_N_Z_33</t>
  </si>
  <si>
    <t>SRA_I_Z_110</t>
  </si>
  <si>
    <t>Srananagh_110kV</t>
  </si>
  <si>
    <t>SRA_I_Z_220</t>
  </si>
  <si>
    <t>STR_I_T_110</t>
  </si>
  <si>
    <t>Stratford_110kV_Tee</t>
  </si>
  <si>
    <t>STR_I_Z_110</t>
  </si>
  <si>
    <t>Stratford_110kV</t>
  </si>
  <si>
    <t>STR_N_Z_110</t>
  </si>
  <si>
    <t>Strabane_110kV</t>
  </si>
  <si>
    <t>STR_N_Z_33</t>
  </si>
  <si>
    <t>SVN_I_Z_110</t>
  </si>
  <si>
    <t>TAN_N_Z_110</t>
  </si>
  <si>
    <t>Tandragee_110kV</t>
  </si>
  <si>
    <t>TAN_N_Z_275</t>
  </si>
  <si>
    <t>Tandragee_275kV</t>
  </si>
  <si>
    <t>TAW_I_Z_110</t>
  </si>
  <si>
    <t>Tawnaghmore_110kV</t>
  </si>
  <si>
    <t>TB_I_Z_110</t>
  </si>
  <si>
    <t>Tarbert_110kV</t>
  </si>
  <si>
    <t>TB_I_Z_220</t>
  </si>
  <si>
    <t>Tarbert_220kV</t>
  </si>
  <si>
    <t>TBG_I_Z_110</t>
  </si>
  <si>
    <t>Trabeg_110kV</t>
  </si>
  <si>
    <t>TBK_I_T_110</t>
  </si>
  <si>
    <t>Tullabrack_110kV_Tee</t>
  </si>
  <si>
    <t>TBK_I_Z_110</t>
  </si>
  <si>
    <t>Tullabrack_110kV</t>
  </si>
  <si>
    <t>TEN_I_Z_110</t>
  </si>
  <si>
    <t>TH_I_Z_220</t>
  </si>
  <si>
    <t>Turlough Hill_220kV</t>
  </si>
  <si>
    <t>THU_I_Z_110</t>
  </si>
  <si>
    <t>Thurles_110kV</t>
  </si>
  <si>
    <t>TIP_I_Z_110</t>
  </si>
  <si>
    <t>TIV_I_Z_110</t>
  </si>
  <si>
    <t>Tievebrack_110kV</t>
  </si>
  <si>
    <t>TLK_I_Z_110</t>
  </si>
  <si>
    <t>Trillick_110kV</t>
  </si>
  <si>
    <t>TMN_N_Z_110</t>
  </si>
  <si>
    <t>Tamnamore_110kV</t>
  </si>
  <si>
    <t>TMN_N_Z_275</t>
  </si>
  <si>
    <t>Tamnamore_275kV</t>
  </si>
  <si>
    <t>TMN_N_Z_33</t>
  </si>
  <si>
    <t>TNY_I_Z_110</t>
  </si>
  <si>
    <t>TON_I_Z_110</t>
  </si>
  <si>
    <t>TRE_N_Z_110</t>
  </si>
  <si>
    <t>Tremoge Cluster_110kV</t>
  </si>
  <si>
    <t>TRE_N_Z_33</t>
  </si>
  <si>
    <t>TRI_I_Z_110</t>
  </si>
  <si>
    <t>Trien_110kV</t>
  </si>
  <si>
    <t>TRL_I_Z_110</t>
  </si>
  <si>
    <t>Tralee_110kV</t>
  </si>
  <si>
    <t>TRN_I_Z_110</t>
  </si>
  <si>
    <t>Trinity_110kV</t>
  </si>
  <si>
    <t>TSB_I_Z_110</t>
  </si>
  <si>
    <t>Thornsberry_110kV</t>
  </si>
  <si>
    <t>TTU_I_Z_110</t>
  </si>
  <si>
    <t>TYN_I_Z_220</t>
  </si>
  <si>
    <t>Tynagh_220kV</t>
  </si>
  <si>
    <t>UGL_I_Z_110</t>
  </si>
  <si>
    <t>Uggool_110kV</t>
  </si>
  <si>
    <t>WAR_N_Z_110</t>
  </si>
  <si>
    <t>Waringstown_110kV</t>
  </si>
  <si>
    <t>WAR_N_Z_33</t>
  </si>
  <si>
    <t>WAT_I_Z_110</t>
  </si>
  <si>
    <t>Waterford_110kV</t>
  </si>
  <si>
    <t>WBK_I_Z_110</t>
  </si>
  <si>
    <t>WEX_I_Z_110</t>
  </si>
  <si>
    <t>WHE_I_Z_110</t>
  </si>
  <si>
    <t>WHI_I_Z_110</t>
  </si>
  <si>
    <t>Whitegate_110kV</t>
  </si>
  <si>
    <t>WHO_I_Z_110</t>
  </si>
  <si>
    <t>Woodhouse_110kV</t>
  </si>
  <si>
    <t>WOL_I_Z_110</t>
  </si>
  <si>
    <t>Wolfe Tone_110kV</t>
  </si>
  <si>
    <t>WOO_I_Z_220</t>
  </si>
  <si>
    <t>Woodland_220kV</t>
  </si>
  <si>
    <t>WOO_I_Z_260</t>
  </si>
  <si>
    <t>WOO_I_Z_380</t>
  </si>
  <si>
    <t>Woodland_380kV</t>
  </si>
  <si>
    <t>description</t>
  </si>
  <si>
    <t>AA(I)(Z)PF1</t>
  </si>
  <si>
    <t>AGH(N)(Z)PF0.99</t>
  </si>
  <si>
    <t>AGN(I)(Z)PF0.95</t>
  </si>
  <si>
    <t>AHA(I)(Z)PF0.965</t>
  </si>
  <si>
    <t>AIR(N)(Z)PF0.99</t>
  </si>
  <si>
    <t>ANR(I)(Z)PF0.95</t>
  </si>
  <si>
    <t>ANT(N)(Z)PF0.98</t>
  </si>
  <si>
    <t>ARD(I)(Z)PF0.99</t>
  </si>
  <si>
    <t>ARI(I)(T)PF0.911</t>
  </si>
  <si>
    <t>ARK(I)(Z)PF0.967</t>
  </si>
  <si>
    <t>ATH(I)(Z)PF0.995</t>
  </si>
  <si>
    <t>ATY(I)(Z)PF0.971</t>
  </si>
  <si>
    <t>BAG(I)PF0.95</t>
  </si>
  <si>
    <t>BAL(I)(Z)PF0.998</t>
  </si>
  <si>
    <t>BAN(I)(Z)PF0.993</t>
  </si>
  <si>
    <t>BAN(I)(Z)PF0.99</t>
  </si>
  <si>
    <t>BAN(N)(Z)PF0.958</t>
  </si>
  <si>
    <t>BAR(I)(T)PF0.95</t>
  </si>
  <si>
    <t>BDA(I)(Z)PF0.982</t>
  </si>
  <si>
    <t>BDN(I)(Z)PF0.95</t>
  </si>
  <si>
    <t>BDN(I)(Z)PF0.992</t>
  </si>
  <si>
    <t>BEG(I)(Z)PF0.992</t>
  </si>
  <si>
    <t>BIN(I)(Z)PF0.992</t>
  </si>
  <si>
    <t>BK(I)(Z)PF0.998</t>
  </si>
  <si>
    <t>BLC(I)(Z)PF0.951</t>
  </si>
  <si>
    <t>BLI(I)(Z)PF0.925</t>
  </si>
  <si>
    <t>BLK(I)(Z)PF0.999</t>
  </si>
  <si>
    <t>BMA(N)(Z)PF0.95</t>
  </si>
  <si>
    <t>BNH(N)(Z)PF0.99</t>
  </si>
  <si>
    <t>BNM(N)(Z)PF0.99</t>
  </si>
  <si>
    <t>BOG(I)(Z)PF0.989</t>
  </si>
  <si>
    <t>BRI(I)(Z)PF0.95</t>
  </si>
  <si>
    <t>BRY(I)(Z)PF0.982</t>
  </si>
  <si>
    <t>BUT(I)(Z)PF0.999</t>
  </si>
  <si>
    <t>CAH(I)(Z)PF1</t>
  </si>
  <si>
    <t>CAR(N)(Z)PF0.99</t>
  </si>
  <si>
    <t>CBG(I)(Z)PF0.996</t>
  </si>
  <si>
    <t>CBR(I)(Z)PF0.984</t>
  </si>
  <si>
    <t>CEN(N)(Z)PF0.99</t>
  </si>
  <si>
    <t>CF(I)(Z)PF0.999</t>
  </si>
  <si>
    <t>CFM(I)(Z)PF0.95</t>
  </si>
  <si>
    <t>CHA(I)(Z)PF0.999</t>
  </si>
  <si>
    <t>CKM(I)(Z)PF0.998</t>
  </si>
  <si>
    <t>CLE(I)(Z)PF0.95</t>
  </si>
  <si>
    <t>CLG(I)(Z)PF0.95</t>
  </si>
  <si>
    <t>CLN(I)(Z)PF1</t>
  </si>
  <si>
    <t>CLU(I)(Z)PF0.95</t>
  </si>
  <si>
    <t>CLW(I)(Z)PF0.982</t>
  </si>
  <si>
    <t>COL(I)(Z)PF0.993</t>
  </si>
  <si>
    <t>COL(N)(Z)PF0.99</t>
  </si>
  <si>
    <t>COS(I)(Z)PF1</t>
  </si>
  <si>
    <t>COW(I)(Z)PF1</t>
  </si>
  <si>
    <t>CPS(N)(Z)PF0.99</t>
  </si>
  <si>
    <t>CRA(I)(Z)PF0.999</t>
  </si>
  <si>
    <t>CRE(N)(Z)PF0.99</t>
  </si>
  <si>
    <t>CRG(N)(Z)PF0.99</t>
  </si>
  <si>
    <t>CRO(I)(Z)PF1</t>
  </si>
  <si>
    <t>CVW(I)(Z)PF0.95</t>
  </si>
  <si>
    <t>CVW(I)(Z)PF0.992</t>
  </si>
  <si>
    <t>DAL(I)(T)PF0.993</t>
  </si>
  <si>
    <t>DDK(I)(Z)PF1</t>
  </si>
  <si>
    <t>DFR(I)(T)PF1</t>
  </si>
  <si>
    <t>DGN(I)(Z)PF1</t>
  </si>
  <si>
    <t>DLT(I)(Z)PF0.999</t>
  </si>
  <si>
    <t>DMY(I)(Z)PF0.983</t>
  </si>
  <si>
    <t>DON(N)(Z)PF0.99</t>
  </si>
  <si>
    <t>DOO(I)(Z)PF1</t>
  </si>
  <si>
    <t>DRU(I)(Z)PF0.873</t>
  </si>
  <si>
    <t>DRU(N)(Z)PF0.99</t>
  </si>
  <si>
    <t>DRY(I)(Z)PF1</t>
  </si>
  <si>
    <t>DUN(N)(Z)PF0.99</t>
  </si>
  <si>
    <t>EDE(N)(Z)PF0.99</t>
  </si>
  <si>
    <t>ENN(I)(Z)PF0.996</t>
  </si>
  <si>
    <t>ENN(N)(Z)PF0.99</t>
  </si>
  <si>
    <t>FIN(N)(Z)PF0.99</t>
  </si>
  <si>
    <t>FIN(I)(Z)PF0.984</t>
  </si>
  <si>
    <t>FTT(I)(Z)PF1</t>
  </si>
  <si>
    <t>GAL(I)(Z)PF1</t>
  </si>
  <si>
    <t>GI(I)(Z)PF0.979</t>
  </si>
  <si>
    <t>GIL(I)(Z)PF0.95</t>
  </si>
  <si>
    <t>GLE(I)(Z)PF0.956</t>
  </si>
  <si>
    <t>GLE(N)(Z)PF0.99</t>
  </si>
  <si>
    <t>GRI(I)(T)PF1</t>
  </si>
  <si>
    <t>GWE(I)(Z)PF0.981</t>
  </si>
  <si>
    <t>GWE(I)(Z)PF0.95</t>
  </si>
  <si>
    <t>HN(I)(Z)PF0.95</t>
  </si>
  <si>
    <t>IKE(I)(T)PF0.996</t>
  </si>
  <si>
    <t>INC(I)(Z)PF0.999</t>
  </si>
  <si>
    <t>KBY(I)(Z)PF1</t>
  </si>
  <si>
    <t>KCY(I)(Z)PF0.95</t>
  </si>
  <si>
    <t>KER(I)(Z)PF0.99</t>
  </si>
  <si>
    <t>KSE(I)(Z)PF0.95</t>
  </si>
  <si>
    <t>KTL(I)(Z)PF0.998</t>
  </si>
  <si>
    <t>KIN(I)(Z)PF0.95</t>
  </si>
  <si>
    <t>KKY(I)(Z)PF1</t>
  </si>
  <si>
    <t>KLM(I)(Z)PF0.992</t>
  </si>
  <si>
    <t>KNO(N)(Z)PF0.99</t>
  </si>
  <si>
    <t>KTN(I)(Z)PF0.993</t>
  </si>
  <si>
    <t>KUR(I)(Z)PF0.95</t>
  </si>
  <si>
    <t>KYT(I)(Z)PF0.95</t>
  </si>
  <si>
    <t>LA(I)(Z)PF1</t>
  </si>
  <si>
    <t>LAR(N)(Z)PF0.99</t>
  </si>
  <si>
    <t>LET(I)(Z)PF0.996</t>
  </si>
  <si>
    <t>LIB(I)(Z)PF0.989</t>
  </si>
  <si>
    <t>LIM(I)(Z)PF1</t>
  </si>
  <si>
    <t>LIM(N)(Z)PF0.99</t>
  </si>
  <si>
    <t>LIS(I)(Z)PF0.992</t>
  </si>
  <si>
    <t>LIS(N)(Z)PF0.99</t>
  </si>
  <si>
    <t>LMR(N)(Z)PF0.98</t>
  </si>
  <si>
    <t>LOG(N)(Z)PF0.98</t>
  </si>
  <si>
    <t>MAC(I)(Z)PF0.96</t>
  </si>
  <si>
    <t>MAL(I)(Z)PF0.988</t>
  </si>
  <si>
    <t>MCE(I)(Z)PF0.95</t>
  </si>
  <si>
    <t>MHL(I)(Z)PF1</t>
  </si>
  <si>
    <t>MID(I)(Z)PF0.99</t>
  </si>
  <si>
    <t>MLN(I)(Z)PF0.95</t>
  </si>
  <si>
    <t>MON(I)(Z)PF0.999</t>
  </si>
  <si>
    <t>MOY(I)(Z)PF1</t>
  </si>
  <si>
    <t>MR(I)(Z)PF0.999</t>
  </si>
  <si>
    <t>MTA(I)(Z)PF0.95</t>
  </si>
  <si>
    <t>MTH(I)(Z)PF0.984</t>
  </si>
  <si>
    <t>MNH(I)(Z)PF0.95</t>
  </si>
  <si>
    <t>MUL(I)(Z)PF0.998</t>
  </si>
  <si>
    <t>MUN(I)(Z)PF0.95</t>
  </si>
  <si>
    <t>NAR(N)(Z)PF0.99</t>
  </si>
  <si>
    <t>NAV(I)(Z)PF0.969</t>
  </si>
  <si>
    <t>NEW(I)(Z)PF1</t>
  </si>
  <si>
    <t>NEW(N)(Z)PF0.99</t>
  </si>
  <si>
    <t>NEN(I)(Z)PF0.977</t>
  </si>
  <si>
    <t>OBE(I)(Z)PF0.95</t>
  </si>
  <si>
    <t>OLD(I)(Z)PF0.95</t>
  </si>
  <si>
    <t>OMA(N)(Z)PF0.99</t>
  </si>
  <si>
    <t>OUG(I)(T)PF0.989</t>
  </si>
  <si>
    <t>PLA(I)(Z)PF0.95</t>
  </si>
  <si>
    <t>PB(I)(Z)PF0.989</t>
  </si>
  <si>
    <t>PLS(I)(Z)PF0.996</t>
  </si>
  <si>
    <t>RAT(I)(Z)PF0.997</t>
  </si>
  <si>
    <t>RAT(N)(Z)PF0.99</t>
  </si>
  <si>
    <t>RIC(I)(Z)PF0.997</t>
  </si>
  <si>
    <t>RNW(I)(Z)PF0.95</t>
  </si>
  <si>
    <t>ROS(N)(Z)PF0.99</t>
  </si>
  <si>
    <t>RYB(I)(Z)PF0.95</t>
  </si>
  <si>
    <t>SCR(I)(Z)PF0.976</t>
  </si>
  <si>
    <t>SHE(I)(Z)PF0.95</t>
  </si>
  <si>
    <t>SAL(I)(Z)PF0.997</t>
  </si>
  <si>
    <t>SKL(I)(Z)PF0.997</t>
  </si>
  <si>
    <t>SLI(I)(Z)PF1</t>
  </si>
  <si>
    <t>SNG(I)(Z)PF1</t>
  </si>
  <si>
    <t>SBH(I)(Z)PF0.95</t>
  </si>
  <si>
    <t>SOM(I)(T)PF0.998</t>
  </si>
  <si>
    <t>SPR(N)(Z)PF0.99</t>
  </si>
  <si>
    <t>STR(I)(T)PF1</t>
  </si>
  <si>
    <t>STR(N)(Z)PF0.99</t>
  </si>
  <si>
    <t>TBG(I)(Z)PF1</t>
  </si>
  <si>
    <t>TBK(I)(T)PF0.992</t>
  </si>
  <si>
    <t>THU(I)(Z)PF0.99</t>
  </si>
  <si>
    <t>TIP(I)(Z)PF0.992</t>
  </si>
  <si>
    <t>TLK(I)(Z)PF0.994</t>
  </si>
  <si>
    <t>TON(I)(Z)PF0.987</t>
  </si>
  <si>
    <t>TRI(I)(Z)PF0.962</t>
  </si>
  <si>
    <t>TRL(I)(Z)PF0.997</t>
  </si>
  <si>
    <t>TSB(I)(Z)PF0.996</t>
  </si>
  <si>
    <t>WAR(N)(Z)PF0.99</t>
  </si>
  <si>
    <t>WAT(I)(Z)PF1</t>
  </si>
  <si>
    <t>WEX(I)(Z)PF1</t>
  </si>
  <si>
    <t>WHI(I)(Z)PF0.95</t>
  </si>
  <si>
    <t>AA(I)(Z)&gt;DRU(I)(Z)_110L1</t>
  </si>
  <si>
    <t>0.027</t>
  </si>
  <si>
    <t>0.063</t>
  </si>
  <si>
    <t>0.006</t>
  </si>
  <si>
    <t>99</t>
  </si>
  <si>
    <t>AA(I)(Z)&gt;ENN(I)(Z)_110L1</t>
  </si>
  <si>
    <t>0.048</t>
  </si>
  <si>
    <t>0.111</t>
  </si>
  <si>
    <t>0.012</t>
  </si>
  <si>
    <t>AA(I)(Z)&gt;LIM(I)(Z)_110L1</t>
  </si>
  <si>
    <t>0.007</t>
  </si>
  <si>
    <t>0.037</t>
  </si>
  <si>
    <t>178</t>
  </si>
  <si>
    <t>AA1(I)(Z)&gt;SNG(I)(Z)_110L1</t>
  </si>
  <si>
    <t>0.003</t>
  </si>
  <si>
    <t>0.017</t>
  </si>
  <si>
    <t>145</t>
  </si>
  <si>
    <t>AD(I)(Z)&gt;AD(I)(Z)_220L1</t>
  </si>
  <si>
    <t>0</t>
  </si>
  <si>
    <t>0.001</t>
  </si>
  <si>
    <t>0.038</t>
  </si>
  <si>
    <t>593</t>
  </si>
  <si>
    <t>AD(I)(Z)&gt;GGO(I)(Z)_220L1</t>
  </si>
  <si>
    <t>0.002</t>
  </si>
  <si>
    <t>0.104</t>
  </si>
  <si>
    <t>536</t>
  </si>
  <si>
    <t>AD(I)(Z)&gt;KRA(I)(Z)_220L1</t>
  </si>
  <si>
    <t>0.022</t>
  </si>
  <si>
    <t>0.034</t>
  </si>
  <si>
    <t>393</t>
  </si>
  <si>
    <t>AD(I)(Z)&gt;KRA(I)(Z)_220L2</t>
  </si>
  <si>
    <t>AD(I)(Z)&gt;LPT(I)(Z)_220L1</t>
  </si>
  <si>
    <t>0.0265</t>
  </si>
  <si>
    <t>AD(I)(Z)&gt;RAF(I)(Z)_220L1</t>
  </si>
  <si>
    <t>0.009</t>
  </si>
  <si>
    <t>0.252</t>
  </si>
  <si>
    <t>434</t>
  </si>
  <si>
    <t>AD(I)(Z)&gt;WHI(I)(Z)_110L1</t>
  </si>
  <si>
    <t>0.005</t>
  </si>
  <si>
    <t>0.011</t>
  </si>
  <si>
    <t>ADM(I)(Z)&gt;GCA(I)(Z)_110L1</t>
  </si>
  <si>
    <t>0.004</t>
  </si>
  <si>
    <t>0.025</t>
  </si>
  <si>
    <t>140</t>
  </si>
  <si>
    <t>ADM(I)(Z)&gt;INC(I)(Z)_110L1</t>
  </si>
  <si>
    <t>0.024</t>
  </si>
  <si>
    <t>103</t>
  </si>
  <si>
    <t>AGH(N)(Z)&gt;ENN(N)(Z)_110L1</t>
  </si>
  <si>
    <t>0.039</t>
  </si>
  <si>
    <t>0.095</t>
  </si>
  <si>
    <t>0.019</t>
  </si>
  <si>
    <t>109</t>
  </si>
  <si>
    <t>AGL(I)(Z)&gt;DYN(I)(Z)_110L1</t>
  </si>
  <si>
    <t>0.028</t>
  </si>
  <si>
    <t>105</t>
  </si>
  <si>
    <t>AGL(I)(Z)&gt;ENN(I)(Z)_110L1</t>
  </si>
  <si>
    <t>0.059</t>
  </si>
  <si>
    <t>0.131</t>
  </si>
  <si>
    <t>AGL(I)(Z)&gt;SH(I)(Z)_110L1</t>
  </si>
  <si>
    <t>0.068</t>
  </si>
  <si>
    <t>0.157</t>
  </si>
  <si>
    <t>104</t>
  </si>
  <si>
    <t>AHA(I)(Z)&gt;KLN(I)(Z)_110L1</t>
  </si>
  <si>
    <t>112</t>
  </si>
  <si>
    <t>ANR(I)(Z)&gt;DOO(I)(Z)_110L1</t>
  </si>
  <si>
    <t>ANT(N)(Z)&gt;KEL(N)(Z)_110L1</t>
  </si>
  <si>
    <t>0.03</t>
  </si>
  <si>
    <t>82</t>
  </si>
  <si>
    <t>ANT(N)(Z)&gt;KEL(N)(Z)_110L2</t>
  </si>
  <si>
    <t>ARD(I)(Z)&gt;TIV(I)(Z)_110L1</t>
  </si>
  <si>
    <t>0.054</t>
  </si>
  <si>
    <t>0.12</t>
  </si>
  <si>
    <t>ARI(I)(Z)&gt;ARI(I)(T)_110L1</t>
  </si>
  <si>
    <t>ARK(I)(Z)&gt;BEG(I)(Z)_110L1</t>
  </si>
  <si>
    <t>0.01</t>
  </si>
  <si>
    <t>0.079</t>
  </si>
  <si>
    <t>ARK(I)(Z)&gt;BOG(I)(Z)_110L1</t>
  </si>
  <si>
    <t>0.021</t>
  </si>
  <si>
    <t>ARK(I)(Z)&gt;CKM(I)(Z)_220L1</t>
  </si>
  <si>
    <t>0.046</t>
  </si>
  <si>
    <t>0.081</t>
  </si>
  <si>
    <t>ARK(I)(Z)&gt;LOD(I)(Z)_220L1</t>
  </si>
  <si>
    <t>0.051</t>
  </si>
  <si>
    <t>ARK(I)(Z)&gt;SHE(I)(Z)_110L1</t>
  </si>
  <si>
    <t>0.008</t>
  </si>
  <si>
    <t>34</t>
  </si>
  <si>
    <t>ART(I)(Z)&gt;FIN(I)(Z)_110L1</t>
  </si>
  <si>
    <t>0.055</t>
  </si>
  <si>
    <t>120</t>
  </si>
  <si>
    <t>ART(I)(Z)&gt;MCD(I)(Z)_110L1</t>
  </si>
  <si>
    <t>ARV(I)(Z)&gt;COS(I)(Z)_110L1</t>
  </si>
  <si>
    <t>0.067</t>
  </si>
  <si>
    <t>0.148</t>
  </si>
  <si>
    <t>0.014</t>
  </si>
  <si>
    <t>ARV(I)(Z)&gt;GWE(I)(Z)_110L1</t>
  </si>
  <si>
    <t>0.099</t>
  </si>
  <si>
    <t>ARV(I)(Z)&gt;NAV(I)(Z)_110L1</t>
  </si>
  <si>
    <t>0.041</t>
  </si>
  <si>
    <t>0.213</t>
  </si>
  <si>
    <t>0.023</t>
  </si>
  <si>
    <t>ARV(I)(Z)&gt;SKL(I)(Z)_110L1</t>
  </si>
  <si>
    <t>0.06</t>
  </si>
  <si>
    <t>ARV(I)(Z)&gt;SKL(I)(Z)_110L2</t>
  </si>
  <si>
    <t>0.015</t>
  </si>
  <si>
    <t>0.076</t>
  </si>
  <si>
    <t>ATE(I)(Z)&gt;DRO(I)(Z)_110L1</t>
  </si>
  <si>
    <t>ATE(I)(Z)&gt;KNR(I)(Z)_110L1</t>
  </si>
  <si>
    <t>ATH(I)(Z)&gt;LA(I)(Z)_110L1</t>
  </si>
  <si>
    <t>0.123</t>
  </si>
  <si>
    <t>ATH(I)(Z)&gt;SH(I)(Z)_110L1</t>
  </si>
  <si>
    <t>0.07</t>
  </si>
  <si>
    <t>ATN(I)(Z)&gt;INC(I)(Z)_110L1</t>
  </si>
  <si>
    <t>0.065</t>
  </si>
  <si>
    <t>ATN(I)(Z)&gt;INC(I)(Z)_110L2</t>
  </si>
  <si>
    <t>ATY(I)(Z)&gt;CLW(I)(Z)_110L1</t>
  </si>
  <si>
    <t>0.036</t>
  </si>
  <si>
    <t>0.083</t>
  </si>
  <si>
    <t>ATY(I)(Z)&gt;PLS(I)(Z)_110L1</t>
  </si>
  <si>
    <t>0.088</t>
  </si>
  <si>
    <t>AUG(I)(Z)&gt;CFM(I)(Z)_110L1</t>
  </si>
  <si>
    <t>96</t>
  </si>
  <si>
    <t>AUG(I)(Z)&gt;CFM(I)(Z)_110L2</t>
  </si>
  <si>
    <t>AUG(I)(Z)&gt;KPG(I)(Z)_110L1</t>
  </si>
  <si>
    <t>0.107</t>
  </si>
  <si>
    <t>AUG(I)(Z)&gt;MTN(I)(Z)_110L1</t>
  </si>
  <si>
    <t>0.089</t>
  </si>
  <si>
    <t>AUG(I)(Z)&gt;SK(I)(Z)_110L1</t>
  </si>
  <si>
    <t>AUG(I)(Z)&gt;SK(I)(Z)_110L2</t>
  </si>
  <si>
    <t>BAL(I)(Z)&gt;CDU(I)(Z)_110L1</t>
  </si>
  <si>
    <t>BAL(I)(Z)&gt;DRY(I)(Z)_110L1</t>
  </si>
  <si>
    <t>0.013</t>
  </si>
  <si>
    <t>BAL(I)(Z)&gt;DEE(I)(Z)_110L1</t>
  </si>
  <si>
    <t>BAN(I)(Z)&gt;BRI(I)(Z)_110L1</t>
  </si>
  <si>
    <t>BAN(I)(Z)&gt;BRI(I)(Z)_110L2</t>
  </si>
  <si>
    <t>BAN(I)(Z)&gt;DMY(I)(Z)_110L1</t>
  </si>
  <si>
    <t>0.04</t>
  </si>
  <si>
    <t>BAN(I)(Z)&gt;RAF(I)(Z)_110L1</t>
  </si>
  <si>
    <t>0.091</t>
  </si>
  <si>
    <t>BAN(N)(Z)&gt;TAN(N)(Z)_110L1</t>
  </si>
  <si>
    <t>0.062</t>
  </si>
  <si>
    <t>BAN(N)(Z)&gt;TAN(N)(Z)_110L2</t>
  </si>
  <si>
    <t>0.049</t>
  </si>
  <si>
    <t>BAR(I)(Z)&gt;BAR(I)(T)_110L1</t>
  </si>
  <si>
    <t>136</t>
  </si>
  <si>
    <t>BCT(I)(Z)&gt;CKM(I)(Z)_110L1</t>
  </si>
  <si>
    <t>0.031</t>
  </si>
  <si>
    <t>BCT(I)(Z)&gt;COO(I)(Z)_110L1</t>
  </si>
  <si>
    <t>0.045</t>
  </si>
  <si>
    <t>130</t>
  </si>
  <si>
    <t>BDA(I)(Z)&gt;MON(I)(Z)_110L1</t>
  </si>
  <si>
    <t>0.029</t>
  </si>
  <si>
    <t>BDA(I)(Z)&gt;NEW(I)(Z)_110L1</t>
  </si>
  <si>
    <t>122</t>
  </si>
  <si>
    <t>BDN(I)(Z)&gt;CUL(I)(Z)_110L1</t>
  </si>
  <si>
    <t>0.075</t>
  </si>
  <si>
    <t>196</t>
  </si>
  <si>
    <t>BDN(I)(Z)&gt;DOO(I)(Z)_110L1</t>
  </si>
  <si>
    <t>BEG(I)(Z)&gt;CKM(I)(Z)_110L1</t>
  </si>
  <si>
    <t>0.116</t>
  </si>
  <si>
    <t>BGH(I)(Z)&gt;CLA(I)(Z)_110L1</t>
  </si>
  <si>
    <t>BGN(I)(Z)&gt;MLC(I)(Z)_110L1</t>
  </si>
  <si>
    <t>BIN(I)(Z)&gt;CF(I)(Z)_110L1</t>
  </si>
  <si>
    <t>0.053</t>
  </si>
  <si>
    <t>0.118</t>
  </si>
  <si>
    <t>BIN(I)(Z)&gt;TIV(I)(Z)_110L1</t>
  </si>
  <si>
    <t>0.077</t>
  </si>
  <si>
    <t>BK(I)(Z)&gt;CBR(I)(Z)_110L1</t>
  </si>
  <si>
    <t>0.128</t>
  </si>
  <si>
    <t>195</t>
  </si>
  <si>
    <t>BK(I)(Z)&gt;CGW(I)(Z)_110L1</t>
  </si>
  <si>
    <t>BK(I)(Z)&gt;MOY(I)(Z)_110L1</t>
  </si>
  <si>
    <t>BK(I)(Z)&gt;SKY(I)(Z)_110L1</t>
  </si>
  <si>
    <t>0.044</t>
  </si>
  <si>
    <t>192</t>
  </si>
  <si>
    <t>BK(I)(Z)&gt;SKY(I)(Z)_110L2</t>
  </si>
  <si>
    <t>187</t>
  </si>
  <si>
    <t>BKT(I)(Z)&gt;CUR(I)(Z)_110L1</t>
  </si>
  <si>
    <t>0.072</t>
  </si>
  <si>
    <t>BKY(I)(Z)&gt;CBT(I)(Z)_110L1</t>
  </si>
  <si>
    <t>BKY(I)(Z)&gt;CBT(I)(Z)_110L2</t>
  </si>
  <si>
    <t>BLA(I)(Z)&gt;POT(I)(Z)_110L1</t>
  </si>
  <si>
    <t>0.092</t>
  </si>
  <si>
    <t>119</t>
  </si>
  <si>
    <t>BLA(I)(Z)&gt;RE(I)(Z)_110L1</t>
  </si>
  <si>
    <t>0.136</t>
  </si>
  <si>
    <t>BLC(I)(Z)&gt;FIN(I)(Z)_220L1</t>
  </si>
  <si>
    <t>0.332</t>
  </si>
  <si>
    <t>570</t>
  </si>
  <si>
    <t>BLC(I)(Z)&gt;GRA(I)(Z)_110L1</t>
  </si>
  <si>
    <t>0.0025</t>
  </si>
  <si>
    <t>BLC(I)(Z)&gt;KLM(I)(Z)_110L1</t>
  </si>
  <si>
    <t>BLI(I)(Z)&gt;DMY(I)(Z)_110L1</t>
  </si>
  <si>
    <t>0.043</t>
  </si>
  <si>
    <t>0.094</t>
  </si>
  <si>
    <t>BLK(I)(Z)&gt;BLK(I)(Z)_110L1</t>
  </si>
  <si>
    <t>BMA(N)(Z)&gt;KEL(N)(Z)_110L1</t>
  </si>
  <si>
    <t>0.035</t>
  </si>
  <si>
    <t>BMA(N)(Z)&gt;KEL(N)(Z)_110L2</t>
  </si>
  <si>
    <t>BNH(N)(Z)&gt;CAS(N)(Z)_110L1</t>
  </si>
  <si>
    <t>0.071</t>
  </si>
  <si>
    <t>BNH(N)(Z)&gt;CAS(N)(Z)_110L2</t>
  </si>
  <si>
    <t>BNM(N)(Z)&gt;DON(N)(Z)_110L1</t>
  </si>
  <si>
    <t>75</t>
  </si>
  <si>
    <t>BNM(N)(Z)&gt;DON(N)(Z)_110L2</t>
  </si>
  <si>
    <t>BOG(I)(Z)&gt;TTU(I)(Z)_110L1</t>
  </si>
  <si>
    <t>TTU(I)(Z)&gt;CRA(I)(Z)_110L1</t>
  </si>
  <si>
    <t>BOL(I)(Z)&gt;ENN(I)(Z)_110L1</t>
  </si>
  <si>
    <t>0.016</t>
  </si>
  <si>
    <t>0.08</t>
  </si>
  <si>
    <t>BOL(I)(Z)&gt;TBK(I)(T)_110L1</t>
  </si>
  <si>
    <t>BPS(N)(Z)&gt;BVG(N)(Z)_110L1</t>
  </si>
  <si>
    <t>0.058</t>
  </si>
  <si>
    <t>BPS(N)(Z)&gt;BVG(N)(Z)_110L2</t>
  </si>
  <si>
    <t>BPS(N)(Z)&gt;BYC(N)(Z)_275L1</t>
  </si>
  <si>
    <t>710</t>
  </si>
  <si>
    <t>BPS(N)(Z)&gt;EDE(N)(Z)_110L1</t>
  </si>
  <si>
    <t>69</t>
  </si>
  <si>
    <t>BPS(N)(Z)&gt;EDE(N)(Z)_110L2</t>
  </si>
  <si>
    <t>70</t>
  </si>
  <si>
    <t>BPS(N)(Z)&gt;HAN(N)(Z)_275L1</t>
  </si>
  <si>
    <t>0.114</t>
  </si>
  <si>
    <t>BPS(N)(Z)&gt;KEL(N)(Z)_275L1</t>
  </si>
  <si>
    <t>BPS(N)(Z)&gt;MAG(N)(Z)_275L1</t>
  </si>
  <si>
    <t>0.169</t>
  </si>
  <si>
    <t>BRO(N)(Z)&gt;RSK(N)(Z)_110L1</t>
  </si>
  <si>
    <t>0.02</t>
  </si>
  <si>
    <t>144</t>
  </si>
  <si>
    <t>BRY(I)(Z)&gt;RAF(I)(Z)_110L1</t>
  </si>
  <si>
    <t>63</t>
  </si>
  <si>
    <t>BRY(I)(Z)&gt;RAF(I)(Z)_110L2</t>
  </si>
  <si>
    <t>BTN(I)(Z)&gt;CLE(I)(Z)_220L1</t>
  </si>
  <si>
    <t>0.0001</t>
  </si>
  <si>
    <t>0.0004</t>
  </si>
  <si>
    <t>BTN(I)(Z)&gt;CLE(I)(Z)_220L2</t>
  </si>
  <si>
    <t>BUT(I)(Z)&gt;CUL(I)(Z)_110L1</t>
  </si>
  <si>
    <t>BUT(I)(Z)&gt;KTN(I)(Z)_110L1</t>
  </si>
  <si>
    <t>BVG(N)(Z)&gt;KEL(N)(Z)_110L1</t>
  </si>
  <si>
    <t>0.073</t>
  </si>
  <si>
    <t>BVG(N)(Z)&gt;KEL(N)(Z)_110L2</t>
  </si>
  <si>
    <t>BVG(N)(Z)&gt;LAR(N)(Z)_110L1</t>
  </si>
  <si>
    <t>79</t>
  </si>
  <si>
    <t>BVG(N)(Z)&gt;LAR(N)(Z)_110L2</t>
  </si>
  <si>
    <t>BVK(I)(Z)&gt;BYH(I)(Z)_220L1</t>
  </si>
  <si>
    <t>0.0246</t>
  </si>
  <si>
    <t>0.05</t>
  </si>
  <si>
    <t>BVK(I)(Z)&gt;CLA(I)(Z)_220L1</t>
  </si>
  <si>
    <t>740</t>
  </si>
  <si>
    <t>BVK(I)(Z)&gt;CTG(I)(Z)_110L1</t>
  </si>
  <si>
    <t>0.386</t>
  </si>
  <si>
    <t>228</t>
  </si>
  <si>
    <t>BWR(I)(Z)&gt;CRA(I)(Z)_110L1</t>
  </si>
  <si>
    <t>0.137</t>
  </si>
  <si>
    <t>115</t>
  </si>
  <si>
    <t>BYH(I)(Z)&gt;CDL(I)(Z)_110L1</t>
  </si>
  <si>
    <t>0.105</t>
  </si>
  <si>
    <t>BYH(I)(Z)&gt;GLE(I)(Z)_110L1</t>
  </si>
  <si>
    <t>0.186</t>
  </si>
  <si>
    <t>124</t>
  </si>
  <si>
    <t>CAB(I)(Z)&gt;PTN(I)(Z)_110L1</t>
  </si>
  <si>
    <t>80</t>
  </si>
  <si>
    <t>CAB(I)(Z)&gt;WOL(I)(Z)_110L1</t>
  </si>
  <si>
    <t>CAH(I)(Z)&gt;BAR(I)(T)_110L1</t>
  </si>
  <si>
    <t>0.15</t>
  </si>
  <si>
    <t>CAH(I)(Z)&gt;DOO(I)(Z)_110L1</t>
  </si>
  <si>
    <t>CAH(I)(Z)&gt;KHL(I)(Z)_110L1</t>
  </si>
  <si>
    <t>CAH(I)(Z)&gt;TIP(I)(Z)_110L1</t>
  </si>
  <si>
    <t>CAR(N)(Z)&gt;CAS(N)(Z)_110L1</t>
  </si>
  <si>
    <t>CAR(N)(Z)&gt;CAS(N)(Z)_110L2</t>
  </si>
  <si>
    <t>0.086</t>
  </si>
  <si>
    <t>CAR(N)(Z)&gt;EDE(N)(Z)_110L1</t>
  </si>
  <si>
    <t>CAR(N)(Z)&gt;EDE(N)(Z)_110L2</t>
  </si>
  <si>
    <t>CAS(N)(Z)&gt;CRE(N)(Z)_110L1</t>
  </si>
  <si>
    <t>0.061</t>
  </si>
  <si>
    <t>132</t>
  </si>
  <si>
    <t>CAS(N)(Z)&gt;CRE(N)(Z)_110L2</t>
  </si>
  <si>
    <t>CAS(N)(Z)&gt;HAN(N)(Z)_275L1</t>
  </si>
  <si>
    <t>CAS(N)(Z)&gt;HAN(N)(Z)_275L2</t>
  </si>
  <si>
    <t>CAS(N)(Z)&gt;KNO(N)(Z)_110L1</t>
  </si>
  <si>
    <t>66</t>
  </si>
  <si>
    <t>CAS(N)(Z)&gt;KNO(N)(Z)_110L2</t>
  </si>
  <si>
    <t>CAS(N)(Z)&gt;KPS(N)(Z)_275L1</t>
  </si>
  <si>
    <t>0.171</t>
  </si>
  <si>
    <t>CAS(N)(Z)&gt;NAR(N)(Z)_110L1</t>
  </si>
  <si>
    <t>CAS(N)(Z)&gt;NAR(N)(Z)_110L2</t>
  </si>
  <si>
    <t>0.018</t>
  </si>
  <si>
    <t>CAS(N)(Z)&gt;RAT(N)(Z)_110L1</t>
  </si>
  <si>
    <t>0.064</t>
  </si>
  <si>
    <t>CAS(N)(Z)&gt;RAT(N)(Z)_110L2</t>
  </si>
  <si>
    <t>CAS(N)(Z)&gt;ROS(N)(Z)_110L1</t>
  </si>
  <si>
    <t>CAS(N)(Z)&gt;ROS(N)(Z)_110L2</t>
  </si>
  <si>
    <t>CAS(N)(Z)&gt;TAN(N)(Z)_275L1</t>
  </si>
  <si>
    <t>CTN(I)(Z)&gt;KLN(I)(Z)_110L1</t>
  </si>
  <si>
    <t>CBL(I)(Z)&gt;TRI(I)(Z)_110L1</t>
  </si>
  <si>
    <t>CBG(I)(Z)&gt;CBR(I)(Z)_110L1</t>
  </si>
  <si>
    <t>0.078</t>
  </si>
  <si>
    <t>CBR(I)(Z)&gt;CLN(I)(Z)_110L1</t>
  </si>
  <si>
    <t>0.198</t>
  </si>
  <si>
    <t>CBR(I)(Z)&gt;DLT(I)(Z)_110L1</t>
  </si>
  <si>
    <t>0.096</t>
  </si>
  <si>
    <t>CBT(I)(Z)&gt;INC(I)(Z)_220L1</t>
  </si>
  <si>
    <t>761</t>
  </si>
  <si>
    <t>CBT(I)(Z)&gt;INC(I)(Z)_220L2</t>
  </si>
  <si>
    <t>CBT(I)(Z)&gt;MAY(I)(Z)_220L1</t>
  </si>
  <si>
    <t>CBT(I)(Z)&gt;MAY(I)(Z)_220L2</t>
  </si>
  <si>
    <t>CD(I)(Z)&gt;KBY(I)(Z)_110L1</t>
  </si>
  <si>
    <t>CD(I)(Z)&gt;MAC(I)(Z)_110L1</t>
  </si>
  <si>
    <t>CDK(I)(Z)&gt;LWD(I)(Z)_110L1</t>
  </si>
  <si>
    <t>CDU(I)(Z)&gt;FIN(I)(Z)_220L1</t>
  </si>
  <si>
    <t>CDU(I)(Z)&gt;FIN(I)(Z)_220L2</t>
  </si>
  <si>
    <t>CDU(I)(Z)&gt;HN(I)(Z)_220L1</t>
  </si>
  <si>
    <t>0.134</t>
  </si>
  <si>
    <t>555</t>
  </si>
  <si>
    <t>CDU(I)(Z)&gt;BLU(I)(Z)_110L1</t>
  </si>
  <si>
    <t>BLU(I)(Z)&gt;MUL(I)(Z)_110L1</t>
  </si>
  <si>
    <t>CDU(I)(Z)&gt;PLA(I)(Z)_110L1</t>
  </si>
  <si>
    <t>CDU(I)(Z)&gt;RYB(I)(Z)_110L1</t>
  </si>
  <si>
    <t>CDU(I)(Z)&gt;SBH(I)(Z)_110L1</t>
  </si>
  <si>
    <t>238</t>
  </si>
  <si>
    <t>CDU(I)(Z)&gt;WOO(I)(Z)_220L1</t>
  </si>
  <si>
    <t>CDY(I)(Z)&gt;ARI(I)(T)_110L1</t>
  </si>
  <si>
    <t>CDY(I)(Z)&gt;GRV(I)(Z)_110L1</t>
  </si>
  <si>
    <t>CDY(I)(Z)&gt;SRA(I)(Z)_110L1</t>
  </si>
  <si>
    <t>CEN(N)(Z)&gt;CRE(N)(Z)_110L1</t>
  </si>
  <si>
    <t>CEN(N)(Z)&gt;CRE(N)(Z)_110L2</t>
  </si>
  <si>
    <t>CF(I)(Z)&gt;CAD(Y)(Z)_110L1</t>
  </si>
  <si>
    <t>CF(I)(Z)&gt;CKL(Y)(Z)_110L1</t>
  </si>
  <si>
    <t>CF(I)(Z)&gt;CL(I)(Z)_110L1</t>
  </si>
  <si>
    <t>CF(I)(Z)&gt;CLO(I)(Z)_110L1</t>
  </si>
  <si>
    <t>CF(I)(Z)&gt;CLO(I)(Z)_110L2</t>
  </si>
  <si>
    <t>CF(I)(Z)&gt;COR(I)(Z)_110L1</t>
  </si>
  <si>
    <t>0.199</t>
  </si>
  <si>
    <t>CF(I)(Z)&gt;SRA(I)(Z)_110L1</t>
  </si>
  <si>
    <t>0.179</t>
  </si>
  <si>
    <t>CF(I)(Z)&gt;SRA(I)(Z)_110L2</t>
  </si>
  <si>
    <t>0.16</t>
  </si>
  <si>
    <t>CGL(I)(Z)&gt;GAE(I)(Z)_110L1</t>
  </si>
  <si>
    <t>CHA(I)(Z)&gt;GLE(I)(Z)_110L1</t>
  </si>
  <si>
    <t>0.042</t>
  </si>
  <si>
    <t>CHA(I)(Z)&gt;KLN(I)(Z)_110L1</t>
  </si>
  <si>
    <t>CHA(I)(Z)&gt;MAL(I)(Z)_110L1</t>
  </si>
  <si>
    <t>CHE(I)(Z)&gt;FAS(I)(Z)_110L1</t>
  </si>
  <si>
    <t>CKG(I)(Z)&gt;CBT(I)(Z)_110L1</t>
  </si>
  <si>
    <t>CKG(I)(Z)&gt;CBT(I)(Z)_110L2</t>
  </si>
  <si>
    <t>CKG(I)(Z)&gt;KUD(I)(Z)_110L1</t>
  </si>
  <si>
    <t>CKM(I)(Z)&gt;CHE(I)(Z)_110L1</t>
  </si>
  <si>
    <t>CKM(I)(Z)&gt;COO(I)(Z)_110L1</t>
  </si>
  <si>
    <t>CKM(I)(Z)&gt;DSN(I)(Z)_220L1</t>
  </si>
  <si>
    <t>0.109</t>
  </si>
  <si>
    <t>CKM(I)(Z)&gt;FAS(I)(Z)_110L1</t>
  </si>
  <si>
    <t>CKM(I)(Z)&gt;FAS(I)(Z)_110L2</t>
  </si>
  <si>
    <t>0.026</t>
  </si>
  <si>
    <t>CKM(I)(Z)&gt;ISH(I)(Z)_220L1</t>
  </si>
  <si>
    <t>0.326</t>
  </si>
  <si>
    <t>CKM(I)(Z)&gt;POT(I)(Z)_110L1</t>
  </si>
  <si>
    <t>0.057</t>
  </si>
  <si>
    <t>CKN(I)(Z)&gt;CGL(I)(Z)_110L1</t>
  </si>
  <si>
    <t>CKN(I)(Z)&gt;GRO(I)(Z)_110L1</t>
  </si>
  <si>
    <t>CKN(I)(Z)&gt;KER(I)(Z)_110L1</t>
  </si>
  <si>
    <t>0.066</t>
  </si>
  <si>
    <t>CLA(I)(Z)&gt;CKN(I)(Z)_110L1</t>
  </si>
  <si>
    <t>CLA(I)(Z)&gt;DMY(I)(Z)_110L1</t>
  </si>
  <si>
    <t>0.126</t>
  </si>
  <si>
    <t>CLA(I)(Z)&gt;KRA(I)(Z)_220L1</t>
  </si>
  <si>
    <t>646</t>
  </si>
  <si>
    <t>CLA(I)(Z)&gt;MAC(I)(Z)_110L1</t>
  </si>
  <si>
    <t>161</t>
  </si>
  <si>
    <t>CLA(I)(Z)&gt;MAC(I)(Z)_110L2</t>
  </si>
  <si>
    <t>CLE(I)(Z)&gt;CDU(I)(Z)_220L1</t>
  </si>
  <si>
    <t>CLE(I)(Z)&gt;WOO(I)(Z)_220L1</t>
  </si>
  <si>
    <t>CLG(I)(Z)&gt;CDU(I)(Z)_110L1</t>
  </si>
  <si>
    <t>CLG(I)(Z)&gt;FIN(I)(Z)_110L1</t>
  </si>
  <si>
    <t>CLH(I)(Z)&gt;TRI(I)(Z)_110L1</t>
  </si>
  <si>
    <t>CLH(I)(Z)&gt;TRL(I)(Z)_110L1</t>
  </si>
  <si>
    <t>CLN(I)(Z)&gt;LA(I)(Z)_110L1</t>
  </si>
  <si>
    <t>0.222</t>
  </si>
  <si>
    <t>CLO(I)(Z)&gt;CF(I)(Z)_110L1</t>
  </si>
  <si>
    <t>CLO(I)(Z)&gt;GOL(I)(T)_110L1</t>
  </si>
  <si>
    <t>CLO(I)(Z)&gt;MRY(I)(Z)_110L1</t>
  </si>
  <si>
    <t>0.09</t>
  </si>
  <si>
    <t>CLW(I)(Z)&gt;KLS(I)(Z)_110L1</t>
  </si>
  <si>
    <t>CLW(I)(Z)&gt;KLS(I)(Z)_110L2</t>
  </si>
  <si>
    <t>CLW(I)(Z)&gt;STR(I)(T)_110L1</t>
  </si>
  <si>
    <t>COL(I)(Z)&gt;CDU(I)(Z)_110L1</t>
  </si>
  <si>
    <t>143</t>
  </si>
  <si>
    <t>COL(I)(Z)&gt;FIN(I)(Z)_110L1</t>
  </si>
  <si>
    <t>COL(N)(Z)&gt;CPS(N)(Z)_110L1</t>
  </si>
  <si>
    <t>0.161</t>
  </si>
  <si>
    <t>COL(N)(Z)&gt;LIM(N)(Z)_110L1</t>
  </si>
  <si>
    <t>COL(N)(Z)&gt;LOG(N)(Z)_110L1</t>
  </si>
  <si>
    <t>COL(N)(Z)&gt;LOG(N)(Z)_110L2</t>
  </si>
  <si>
    <t>COL(N)(Z)&gt;RSK(N)(Z)_110L1</t>
  </si>
  <si>
    <t>0.069</t>
  </si>
  <si>
    <t>186</t>
  </si>
  <si>
    <t>COO(I)(Z)&gt;FTT(I)(Z)_110L1</t>
  </si>
  <si>
    <t>COO(I)(Z)&gt;INC(I)(Z)_110L1</t>
  </si>
  <si>
    <t>COR(I)(Z)&gt;ENN(N)(Z)_110L1</t>
  </si>
  <si>
    <t>COR(I)(Z)&gt;GWE(I)(Z)_110L1</t>
  </si>
  <si>
    <t>COS(I)(Z)&gt;ARI(I)(T)_110L1</t>
  </si>
  <si>
    <t>COS(I)(Z)&gt;FLA(I)(Z)_110L1</t>
  </si>
  <si>
    <t>COS(I)(Z)&gt;FLA(I)(Z)_110L2</t>
  </si>
  <si>
    <t>COW(I)(Z)&gt;OLD(I)(Z)_110L1</t>
  </si>
  <si>
    <t>COW(I)(Z)&gt;OLD(I)(Z)_110L2</t>
  </si>
  <si>
    <t>COW(I)(Z)&gt;RAF(I)(Z)_110L1</t>
  </si>
  <si>
    <t>COW(I)(Z)&gt;WHI(I)(Z)_110L1</t>
  </si>
  <si>
    <t>CPK(I)(Z)&gt;CKM(I)(Z)_110L1</t>
  </si>
  <si>
    <t>100</t>
  </si>
  <si>
    <t>CPK(I)(Z)&gt;TNY(I)(Z)_110L1</t>
  </si>
  <si>
    <t>CPS(N)(Z)&gt;KMT(N)(Z)_110L1</t>
  </si>
  <si>
    <t>CPS(N)(Z)&gt;LIM(N)(Z)_110L1</t>
  </si>
  <si>
    <t>0.101</t>
  </si>
  <si>
    <t>CPS(N)(Z)&gt;LMR(N)(Z)_110L1</t>
  </si>
  <si>
    <t>CPS(N)(Z)&gt;LMR(N)(Z)_110L2</t>
  </si>
  <si>
    <t>CPS(N)(Z)&gt;MAG(N)(Z)_275L1</t>
  </si>
  <si>
    <t>0.151</t>
  </si>
  <si>
    <t>412</t>
  </si>
  <si>
    <t>CPS(N)(Z)&gt;MAG(N)(Z)_275L2</t>
  </si>
  <si>
    <t>CPS(N)(Z)&gt;SPR(N)(Z)_110L1</t>
  </si>
  <si>
    <t>CPS(N)(Z)&gt;SPR(N)(Z)_110L2</t>
  </si>
  <si>
    <t>CPS(N)(Z)&gt;STR(N)(Z)_110L1</t>
  </si>
  <si>
    <t>CRA(I)(Z)&gt;LWD(I)(Z)_110L1</t>
  </si>
  <si>
    <t>CRA(I)(Z)&gt;WEX(I)(Z)_110L1</t>
  </si>
  <si>
    <t>CRG(N)(Z)&gt;KEL(N)(Z)_110L1</t>
  </si>
  <si>
    <t>CRG(N)(Z)&gt;TMN(N)(Z)_110L1</t>
  </si>
  <si>
    <t>0.119</t>
  </si>
  <si>
    <t>CRM(I)(Z)&gt;KLM(I)(Z)_110L1</t>
  </si>
  <si>
    <t>CRM(I)(Z)&gt;KLM(I)(Z)_110L2</t>
  </si>
  <si>
    <t>CRO(I)(Z)&gt;IA(I)(Z)_110L1</t>
  </si>
  <si>
    <t>CRO(I)(Z)&gt;KBY(I)(Z)_110L1</t>
  </si>
  <si>
    <t>CSH(I)(Z)&gt;CLN(I)(Z)_110L1</t>
  </si>
  <si>
    <t>0.074</t>
  </si>
  <si>
    <t>CSH(I)(Z)&gt;DLT(I)(Z)_110L1</t>
  </si>
  <si>
    <t>0.205</t>
  </si>
  <si>
    <t>CSH(I)(Z)&gt;ENN(I)(Z)_110L1</t>
  </si>
  <si>
    <t>0.174</t>
  </si>
  <si>
    <t>CSH(I)(Z)&gt;FLA(I)(Z)_220L1</t>
  </si>
  <si>
    <t>0.115</t>
  </si>
  <si>
    <t>350</t>
  </si>
  <si>
    <t>CSH(I)(Z)&gt;GAL(I)(Z)_110L1</t>
  </si>
  <si>
    <t>CSH(I)(Z)&gt;GAL(I)(Z)_110L2</t>
  </si>
  <si>
    <t>CSH(I)(Z)&gt;GAL(I)(Z)_110L3</t>
  </si>
  <si>
    <t>CSH(I)(Z)&gt;PRO(I)(Z)_220L1</t>
  </si>
  <si>
    <t>392</t>
  </si>
  <si>
    <t>CSH(I)(Z)&gt;SAL(I)(Z)_110L1</t>
  </si>
  <si>
    <t>97</t>
  </si>
  <si>
    <t>CSH(I)(Z)&gt;SOM(I)(T)_110L1</t>
  </si>
  <si>
    <t>0.172</t>
  </si>
  <si>
    <t>CSH(I)(Z)&gt;TYN(I)(Z)_220L1</t>
  </si>
  <si>
    <t>CTN(I)(Z)&gt;TIP(I)(Z)_110L1</t>
  </si>
  <si>
    <t>CTY(I)(Z)&gt;FTT(I)(Z)_110L1</t>
  </si>
  <si>
    <t>CTY(I)(Z)&gt;INC(I)(Z)_110L1</t>
  </si>
  <si>
    <t>CUL(I)(Z)&gt;DGN(I)(Z)_110L1</t>
  </si>
  <si>
    <t>CUL(I)(Z)&gt;GI(I)(Z)_220L1</t>
  </si>
  <si>
    <t>746</t>
  </si>
  <si>
    <t>CUL(I)(Z)&gt;KRA(I)(Z)_220L1</t>
  </si>
  <si>
    <t>0.117</t>
  </si>
  <si>
    <t>CUL(I)(Z)&gt;WAT(I)(Z)_110L1</t>
  </si>
  <si>
    <t>CUN(I)(Z)&gt;GLR(I)(Z)_110L1</t>
  </si>
  <si>
    <t>CUN(I)(Z)&gt;SLI(I)(Z)_110L1</t>
  </si>
  <si>
    <t>CUR(I)(Z)&gt;BKM(I)(Z)_110L1</t>
  </si>
  <si>
    <t>0.192</t>
  </si>
  <si>
    <t>190</t>
  </si>
  <si>
    <t>CUR(I)(Z)&gt;NEN(I)(Z)_110L1</t>
  </si>
  <si>
    <t>CUS(I)(Z)&gt;MLC(I)(Z)_110L1</t>
  </si>
  <si>
    <t>CUS(I)(Z)&gt;NEW(I)(Z)_110L1</t>
  </si>
  <si>
    <t>0.082</t>
  </si>
  <si>
    <t>134</t>
  </si>
  <si>
    <t>CUS(I)(Z)&gt;PLS(I)(Z)_110L1</t>
  </si>
  <si>
    <t>0.14</t>
  </si>
  <si>
    <t>CVW(I)(Z)&gt;COW(I)(Z)_110L1</t>
  </si>
  <si>
    <t>CVW(I)(Z)&gt;DKL(I)(Z)_110L1</t>
  </si>
  <si>
    <t>CVW(I)(Z)&gt;KRA(I)(Z)_110L1</t>
  </si>
  <si>
    <t>DAL(I)(Z)&gt;DAL(I)(T)_110L1</t>
  </si>
  <si>
    <t>DDK(I)(Z)&gt;LOU(I)(Z)_110L1</t>
  </si>
  <si>
    <t>DDK(I)(Z)&gt;MLN(I)(Z)_110L1</t>
  </si>
  <si>
    <t>DER(I)(Z)&gt;KIN(I)(Z)_110L1</t>
  </si>
  <si>
    <t>DER(I)(Z)&gt;TEN(I)(Z)_110L1</t>
  </si>
  <si>
    <t>74</t>
  </si>
  <si>
    <t>TEN(I)(Z)&gt;MAY(I)(Z)_110L1</t>
  </si>
  <si>
    <t>DER(I)(Z)&gt;TSB(I)(Z)_110L1</t>
  </si>
  <si>
    <t>DEY(I)(Z)&gt;DAL(I)(T)_110L1</t>
  </si>
  <si>
    <t>DEY(I)(Z)&gt;PLS(I)(Z)_110L1</t>
  </si>
  <si>
    <t>DGN(I)(Z)&gt;WHE(I)(Z)_110L1</t>
  </si>
  <si>
    <t>DMY(I)(Z)&gt;CDN(I)(Z)_110L1</t>
  </si>
  <si>
    <t>211</t>
  </si>
  <si>
    <t>DMY(I)(Z)&gt;MAC(I)(Z)_110L1</t>
  </si>
  <si>
    <t>DON(N)(Z)&gt;FIN(N)(Z)_110L1</t>
  </si>
  <si>
    <t>DON(N)(Z)&gt;FIN(N)(Z)_110L2</t>
  </si>
  <si>
    <t>DON(N)(Z)&gt;HAN(N)(Z)_110L1</t>
  </si>
  <si>
    <t>DON(N)(Z)&gt;HAN(N)(Z)_110L2</t>
  </si>
  <si>
    <t>DRM(I)(Z)&gt;CLO(I)(Z)_110L1</t>
  </si>
  <si>
    <t>DRM(I)(Z)&gt;LET(I)(Z)_110L1</t>
  </si>
  <si>
    <t>DRM(I)(Z)&gt;MEE(I)(Z)_110L1</t>
  </si>
  <si>
    <t>DRO(N)(Z)&gt;ENN(N)(Z)_110L1</t>
  </si>
  <si>
    <t>0.032</t>
  </si>
  <si>
    <t>DRO(N)(Z)&gt;ENN(N)(Z)_110L2</t>
  </si>
  <si>
    <t>DRO(N)(Z)&gt;OMA(N)(Z)_110L1</t>
  </si>
  <si>
    <t>0.047</t>
  </si>
  <si>
    <t>DRO(N)(Z)&gt;OMA(N)(Z)_110L2</t>
  </si>
  <si>
    <t>DRQ(N)(Z)&gt;DRO(N)(Z)_110L1</t>
  </si>
  <si>
    <t>DRU(I)(Z)&gt;ENN(I)(Z)_110L1</t>
  </si>
  <si>
    <t>DRU(N)(Z)&gt;TAN(N)(Z)_110L1</t>
  </si>
  <si>
    <t>DRU(N)(Z)&gt;TAN(N)(Z)_110L2</t>
  </si>
  <si>
    <t>DRU(N)(Z)&gt;TAN(N)(Z)_110L3</t>
  </si>
  <si>
    <t>108</t>
  </si>
  <si>
    <t>DRU(N)(Z)&gt;TMN(N)(Z)_110L1</t>
  </si>
  <si>
    <t>DRU(N)(Z)&gt;TMN(N)(Z)_110L2</t>
  </si>
  <si>
    <t>DRY(I)(Z)&gt;GOR(I)(Z)_110L1</t>
  </si>
  <si>
    <t>DRY(I)(Z)&gt;LOU(I)(Z)_110L1</t>
  </si>
  <si>
    <t>DRY(I)(Z)&gt;PLA(I)(Z)_110L1</t>
  </si>
  <si>
    <t>DSN(I)(Z)&gt;KLS(I)(Z)_220L1</t>
  </si>
  <si>
    <t>DSN(I)(Z)&gt;MAY(I)(Z)_220L1</t>
  </si>
  <si>
    <t>DSN(I)(Z)&gt;MAY(I)(Z)_220L2</t>
  </si>
  <si>
    <t>DSN(I)(Z)&gt;MAY(I)(Z)_220L3</t>
  </si>
  <si>
    <t>0.040</t>
  </si>
  <si>
    <t>DSN(I)(Z)&gt;MP(I)(Z)_380L1</t>
  </si>
  <si>
    <t>1.14</t>
  </si>
  <si>
    <t>DSN(I)(Z)&gt;TH(I)(Z)_220L1</t>
  </si>
  <si>
    <t>0.144</t>
  </si>
  <si>
    <t>351</t>
  </si>
  <si>
    <t>DTN(I)(Z)&gt;BLC(I)(Z)_110L1</t>
  </si>
  <si>
    <t>DTN(I)(Z)&gt;FIN(I)(Z)_110L1</t>
  </si>
  <si>
    <t>DTN(I)(Z)&gt;KLM(I)(Z)_110L1</t>
  </si>
  <si>
    <t>DUN(N)(Z)&gt;OMA(N)(Z)_110L1</t>
  </si>
  <si>
    <t>0.124</t>
  </si>
  <si>
    <t>DUN(N)(Z)&gt;TMN(N)(Z)_110L1</t>
  </si>
  <si>
    <t>157</t>
  </si>
  <si>
    <t>DUN(N)(Z)&gt;TMN(N)(Z)_110L2</t>
  </si>
  <si>
    <t>DUN(N)(Z)&gt;TMN(N)(Z)_110L3</t>
  </si>
  <si>
    <t>ENN(I)(Z)&gt;SLC(I)(Z)_110L1</t>
  </si>
  <si>
    <t>0.271</t>
  </si>
  <si>
    <t>FAS(I)(Z)&gt;FAS(I)(Z)_110L1</t>
  </si>
  <si>
    <t>FIN(I)(Z)&gt;GLA(I)(Z)_110L1</t>
  </si>
  <si>
    <t>FIN(I)(Z)&gt;GRA(I)(Z)_110L1</t>
  </si>
  <si>
    <t>0.236</t>
  </si>
  <si>
    <t>FIN(I)(Z)&gt;HN(I)(Z)_220L1</t>
  </si>
  <si>
    <t>FIN(I)(Z)&gt;MCD(I)(Z)_110L1</t>
  </si>
  <si>
    <t>0.141</t>
  </si>
  <si>
    <t>FIN(I)(Z)&gt;NW(I)(Z)_220L1</t>
  </si>
  <si>
    <t>0.67</t>
  </si>
  <si>
    <t>332</t>
  </si>
  <si>
    <t>FIN(I)(Z)&gt;POP(I)(Z)_110L1</t>
  </si>
  <si>
    <t>FIN(I)(Z)&gt;PTN(I)(Z)_110L1</t>
  </si>
  <si>
    <t>FIN(I)(Z)&gt;SHL(I)(Z)_220L1</t>
  </si>
  <si>
    <t>0.367</t>
  </si>
  <si>
    <t>FIN(I)(Z)&gt;SVN(I)(Z)_110L1</t>
  </si>
  <si>
    <t>0.056</t>
  </si>
  <si>
    <t>FIN(N)(Z)&gt;HAN(N)(Z)_110L1</t>
  </si>
  <si>
    <t>FIN(N)(Z)&gt;HAN(N)(Z)_110L2</t>
  </si>
  <si>
    <t>FLA(I)(Z)&gt;GIL(I)(Z)_110L1</t>
  </si>
  <si>
    <t>FLA(I)(Z)&gt;LOU(I)(Z)_220L1</t>
  </si>
  <si>
    <t>0.098</t>
  </si>
  <si>
    <t>0.145</t>
  </si>
  <si>
    <t>384</t>
  </si>
  <si>
    <t>FLA(I)(Z)&gt;SLB(I)(Z)_110L1</t>
  </si>
  <si>
    <t>FLA(I)(Z)&gt;SLI(I)(Z)_110L1</t>
  </si>
  <si>
    <t>FLA(I)(Z)&gt;SRA(I)(Z)_220L1</t>
  </si>
  <si>
    <t>FLA(I)(Z)&gt;TON(I)(Z)_110L1</t>
  </si>
  <si>
    <t>98</t>
  </si>
  <si>
    <t>FRS(I)(Z)&gt;HAR(I)(Z)_110L1</t>
  </si>
  <si>
    <t>107</t>
  </si>
  <si>
    <t>FRS(I)(Z)&gt;HEU(I)(Z)_110L1</t>
  </si>
  <si>
    <t>FRS(I)(Z)&gt;INC(I)(Z)_110L1</t>
  </si>
  <si>
    <t>FRS(I)(Z)&gt;TRN(I)(Z)_110L1</t>
  </si>
  <si>
    <t>GAL(I)(Z)&gt;SAL(I)(Z)_110L1</t>
  </si>
  <si>
    <t>GAL(I)(Z)&gt;SEE(I)(Z)_110L1</t>
  </si>
  <si>
    <t>0.138</t>
  </si>
  <si>
    <t>CDU(I)(Z)&gt;GAN(I)(Z)_110L1</t>
  </si>
  <si>
    <t>GCA(I)(Z)&gt;GRI(I)(T)_110L1</t>
  </si>
  <si>
    <t>GCA(I)(Z)&gt;INC(I)(Z)_110L1</t>
  </si>
  <si>
    <t>GCA(I)(Z)&gt;INC(I)(Z)_110L2</t>
  </si>
  <si>
    <t>GCA(I)(Z)&gt;NAN(I)(Z)_110L1</t>
  </si>
  <si>
    <t>GCA(I)(Z)&gt;NAN(I)(Z)_110L2</t>
  </si>
  <si>
    <t>GGO(I)(Z)&gt;RAF(I)(Z)_220L1</t>
  </si>
  <si>
    <t>0.414</t>
  </si>
  <si>
    <t>GI(I)(Z)&gt;KKY(I)(Z)_110L1</t>
  </si>
  <si>
    <t>GI(I)(Z)&gt;KLS(I)(Z)_220L1</t>
  </si>
  <si>
    <t>GI(I)(Z)&gt;LWD(I)(Z)_220L1</t>
  </si>
  <si>
    <t>GI(I)(Z)&gt;LWN(I)(Z)_220L1</t>
  </si>
  <si>
    <t>GI(I)(Z)&gt;WAT(I)(Z)_110L1</t>
  </si>
  <si>
    <t>GI(I)(Z)&gt;WAT(I)(Z)_110L2</t>
  </si>
  <si>
    <t>GI(I)(Z)&gt;ROP(I)(Z)_110L1</t>
  </si>
  <si>
    <t>ROP(I)(Z)&gt;WEX(I)(Z)_110L1</t>
  </si>
  <si>
    <t>GLA(I)(Z)&gt;SVN(I)(Z)_110L1</t>
  </si>
  <si>
    <t>0.052</t>
  </si>
  <si>
    <t>GLE(I)(Z)&gt;KCR(I)(Z)_110L1</t>
  </si>
  <si>
    <t>GLE(N)(Z)&gt;KEL(N)(Z)_110L1</t>
  </si>
  <si>
    <t>GLE(N)(Z)&gt;KEL(N)(Z)_110L2</t>
  </si>
  <si>
    <t>GOL(I)(Z)&gt;GOL(I)(T)_110L1</t>
  </si>
  <si>
    <t>GOR(I)(Z)&gt;LOU(I)(Z)_220L1</t>
  </si>
  <si>
    <t>GOR(I)(Z)&gt;MAY(I)(Z)_220L1</t>
  </si>
  <si>
    <t>GOR(I)(Z)&gt;MTH(I)(Z)_110L1</t>
  </si>
  <si>
    <t>0.087</t>
  </si>
  <si>
    <t>GOR(I)(Z)&gt;NAV(I)(Z)_110L1</t>
  </si>
  <si>
    <t>GOR(I)(Z)&gt;NAV(I)(Z)_110L2</t>
  </si>
  <si>
    <t>GOR(I)(Z)&gt;NAV(I)(Z)_110L3</t>
  </si>
  <si>
    <t>GOR(I)(Z)&gt;GRH(I)(Z)_110L1</t>
  </si>
  <si>
    <t>GRH(I)(Z)&gt;PLA(I)(Z)_110L1</t>
  </si>
  <si>
    <t>GOR(N)(Z)&gt;OMA(N)(Z)_110L1</t>
  </si>
  <si>
    <t>GOR(N)(Z)&gt;TMN(N)(Z)_110L1</t>
  </si>
  <si>
    <t>GRA(I)(Z)&gt;NBY(I)(Z)_110L1</t>
  </si>
  <si>
    <t>GRI(I)(T)&gt;MAY(I)(Z)_110L1</t>
  </si>
  <si>
    <t>GRI(I)(Z)&gt;GRI(I)(T)_110L1</t>
  </si>
  <si>
    <t>GRO(I)(Z)&gt;BVK(I)(Z)_110L1</t>
  </si>
  <si>
    <t>HAN(N)(Z)&gt;BYC(N)(Z)_275L1</t>
  </si>
  <si>
    <t>0.112</t>
  </si>
  <si>
    <t>HAN(N)(Z)&gt;LIS(N)(Z)_110L1</t>
  </si>
  <si>
    <t>HAN(N)(Z)&gt;LIS(N)(Z)_110L2</t>
  </si>
  <si>
    <t>HAR(I)(Z)&gt;RE(I)(Z)_110L1</t>
  </si>
  <si>
    <t>HEU(I)(Z)&gt;INC(I)(Z)_110L1</t>
  </si>
  <si>
    <t>IA(I)(Z)&gt;MAC(I)(Z)_110L1</t>
  </si>
  <si>
    <t>IKE(I)(Z)&gt;IKE(I)(T)_110L1</t>
  </si>
  <si>
    <t>INC(I)(Z)&gt;ISH(I)(Z)_220L1</t>
  </si>
  <si>
    <t>0.33</t>
  </si>
  <si>
    <t>562</t>
  </si>
  <si>
    <t>INC(I)(Z)&gt;MIL(I)(Z)_110L1</t>
  </si>
  <si>
    <t>INC(I)(Z)&gt;PB(I)(Z)_220L1</t>
  </si>
  <si>
    <t>0.498</t>
  </si>
  <si>
    <t>267</t>
  </si>
  <si>
    <t>INC(I)(Z)&gt;PB(I)(Z)_220L2</t>
  </si>
  <si>
    <t>0.722</t>
  </si>
  <si>
    <t>ISH(I)(Z)&gt;SHL(I)(Z)_220L1</t>
  </si>
  <si>
    <t>KBY(I)(Z)&gt;KRA(I)(Z)_110L1</t>
  </si>
  <si>
    <t>KBY(I)(Z)&gt;KRA(I)(Z)_110L2</t>
  </si>
  <si>
    <t>KBY(I)(Z)&gt;MAL(I)(Z)_110L1</t>
  </si>
  <si>
    <t>KBY(I)(Z)&gt;MR(I)(Z)_110L1</t>
  </si>
  <si>
    <t>KBY(I)(Z)&gt;MR(I)(Z)_110L2</t>
  </si>
  <si>
    <t>KEL(N)(Z)&gt;KPS(N)(Z)_275L1</t>
  </si>
  <si>
    <t>KEL(N)(Z)&gt;KPS(N)(Z)_275L2</t>
  </si>
  <si>
    <t>KEL(N)(Z)&gt;MAG(N)(Z)_275L1</t>
  </si>
  <si>
    <t>KEL(N)(Z)&gt;RSK(N)(Z)_110L1</t>
  </si>
  <si>
    <t>0.133</t>
  </si>
  <si>
    <t>185</t>
  </si>
  <si>
    <t>KER(I)(Z)&gt;OUG(I)(T)_110L1</t>
  </si>
  <si>
    <t>KIN(I)(Z)&gt;MUL(I)(Z)_110L1</t>
  </si>
  <si>
    <t>KLH(I)(Z)&gt;THU(I)(Z)_110L1</t>
  </si>
  <si>
    <t>KLM(I)(Z)&gt;NBY(I)(Z)_110L1</t>
  </si>
  <si>
    <t>KLM(I)(Z)&gt;POP(I)(Z)_110L1</t>
  </si>
  <si>
    <t>KLN(I)(Z)&gt;CUR(I)(Z)_110L1</t>
  </si>
  <si>
    <t>KLN(I)(Z)&gt;KPG(I)(Z)_220L1</t>
  </si>
  <si>
    <t>KLN(I)(Z)&gt;KRA(I)(Z)_220L1</t>
  </si>
  <si>
    <t>512</t>
  </si>
  <si>
    <t>KLN(I)(Z)&gt;LIM(I)(Z)_110L1</t>
  </si>
  <si>
    <t>KLN(I)(Z)&gt;LIM(I)(Z)_110L2</t>
  </si>
  <si>
    <t>KLN(I)(Z)&gt;SH(I)(Z)_220L1</t>
  </si>
  <si>
    <t>269</t>
  </si>
  <si>
    <t>KLN(I)(Z)&gt;SNG(I)(Z)_110L1</t>
  </si>
  <si>
    <t>KLP(I)(Z)&gt;CNG(I)(Z)_110L1</t>
  </si>
  <si>
    <t>KLP(I)(Z)&gt;KNR(I)(Z)_110L1</t>
  </si>
  <si>
    <t>KLP(I)(Z)&gt;KNR(I)(Z)_220L1</t>
  </si>
  <si>
    <t>731</t>
  </si>
  <si>
    <t>KLP(I)(Z)&gt;KNR(I)(Z)_220L2</t>
  </si>
  <si>
    <t>0.971</t>
  </si>
  <si>
    <t>KLP(I)(Z)&gt;MP(I)(Z)_220L1</t>
  </si>
  <si>
    <t>660</t>
  </si>
  <si>
    <t>KLP(I)(Z)&gt;MP(I)(Z)_220L2</t>
  </si>
  <si>
    <t>KLP(I)(Z)&gt;RAT(I)(Z)_110L1</t>
  </si>
  <si>
    <t>0.033</t>
  </si>
  <si>
    <t>KLP(I)(Z)&gt;TB(I)(Z)_110L1</t>
  </si>
  <si>
    <t>KLP(I)(Z)&gt;TB(I)(Z)_110L2</t>
  </si>
  <si>
    <t>KLP(I)(Z)&gt;TB(I)(Z)_220L1</t>
  </si>
  <si>
    <t>KLP(I)(Z)&gt;TB(I)(Z)_220L2</t>
  </si>
  <si>
    <t>KLP(I)(Z)&gt;TRL(I)(Z)_110L1</t>
  </si>
  <si>
    <t>0.135</t>
  </si>
  <si>
    <t>KLP(I)(Z)&gt;TRL(I)(Z)_110L2</t>
  </si>
  <si>
    <t>KLS(I)(Z)&gt;KKY(I)(Z)_110L1</t>
  </si>
  <si>
    <t>KMT(N)(Z)&gt;SLK(N)(Z)_110L1</t>
  </si>
  <si>
    <t>KMT(N)(Z)&gt;STR(N)(Z)_110L1</t>
  </si>
  <si>
    <t>KNR(I)(Z)&gt;BYH(I)(Z)_220L1</t>
  </si>
  <si>
    <t>KNR(I)(Z)&gt;TRI(I)(Z)_110L1</t>
  </si>
  <si>
    <t>KNR(I)(Z)&gt;TRI(I)(Z)_110L2</t>
  </si>
  <si>
    <t>KNY(I)(Z)&gt;BUF(I)(Z)_110L1</t>
  </si>
  <si>
    <t>KNY(I)(Z)&gt;KLH(I)(Z)_110L1</t>
  </si>
  <si>
    <t>KNY(I)(Z)&gt;SAL(I)(Z)_110L1</t>
  </si>
  <si>
    <t>KNY(I)(Z)&gt;SCR(I)(Z)_110L1</t>
  </si>
  <si>
    <t>0.108</t>
  </si>
  <si>
    <t>135</t>
  </si>
  <si>
    <t>KNY(I)(Z)&gt;UGL(I)(Z)_110L1</t>
  </si>
  <si>
    <t>KPS(N)(Z)&gt;TAN(N)(Z)_275L1</t>
  </si>
  <si>
    <t>0.206</t>
  </si>
  <si>
    <t>KRA(I)(Z)&gt;BAR(I)(T)_110L1</t>
  </si>
  <si>
    <t>KRA(I)(Z)&gt;MEN(I)(Z)_110L1</t>
  </si>
  <si>
    <t>KRA(I)(Z)&gt;MID(I)(Z)_110L1</t>
  </si>
  <si>
    <t>KRA(I)(Z)&gt;RAF(I)(Z)_220L1</t>
  </si>
  <si>
    <t>353</t>
  </si>
  <si>
    <t>KRA(I)(Z)&gt;WHO(I)(Z)_110L1</t>
  </si>
  <si>
    <t>KTL(I)(Z)&gt;MAY(I)(Z)_110L1</t>
  </si>
  <si>
    <t>KTL(I)(Z)&gt;MON(I)(Z)_110L1</t>
  </si>
  <si>
    <t>KTN(I)(Z)&gt;WAT(I)(Z)_110L1</t>
  </si>
  <si>
    <t>KUD(I)(Z)&gt;CBT(I)(Z)_110L1</t>
  </si>
  <si>
    <t>KUR(I)(Z)&gt;NAV(I)(Z)_110L1</t>
  </si>
  <si>
    <t>LA(I)(Z)&gt;MUL(I)(Z)_110L1</t>
  </si>
  <si>
    <t>LA(I)(Z)&gt;RIC(I)(Z)_110L1</t>
  </si>
  <si>
    <t>LA(I)(Z)&gt;RIC(I)(Z)_110L2</t>
  </si>
  <si>
    <t>LA(I)(Z)&gt;SLB(I)(Z)_110L1</t>
  </si>
  <si>
    <t>LET(I)(Z)&gt;GOL(I)(T)_110L1</t>
  </si>
  <si>
    <t>0.132</t>
  </si>
  <si>
    <t>LET(I)(Z)&gt;STR(N)(Z)_110L1</t>
  </si>
  <si>
    <t>LET(I)(Z)&gt;TIV(I)(Z)_110L1</t>
  </si>
  <si>
    <t>LET(I)(Z)&gt;TLK(I)(Z)_110L1</t>
  </si>
  <si>
    <t>LIB(I)(Z)&gt;MR(I)(Z)_110L1</t>
  </si>
  <si>
    <t>LIB(I)(Z)&gt;MR(I)(Z)_110L2</t>
  </si>
  <si>
    <t>LIM(I)(Z)&gt;MTN(I)(Z)_110L1</t>
  </si>
  <si>
    <t>LIM(I)(Z)&gt;RAT(I)(Z)_110L1</t>
  </si>
  <si>
    <t>LIS(I)(Z)&gt;LOU(I)(Z)_110L1</t>
  </si>
  <si>
    <t>0.139</t>
  </si>
  <si>
    <t>LIS(I)(Z)&gt;LSA(I)(T)_110L1</t>
  </si>
  <si>
    <t>LSA(I)(T)&gt;SKL(I)(Z)_110L1</t>
  </si>
  <si>
    <t>LIS(N)(Z)&gt;TAN(N)(Z)_110L1</t>
  </si>
  <si>
    <t>0.106</t>
  </si>
  <si>
    <t>LIS(N)(Z)&gt;TAN(N)(Z)_110L2</t>
  </si>
  <si>
    <t>0.1</t>
  </si>
  <si>
    <t>LOU(I)(Z)&gt;MLN(I)(Z)_110L1</t>
  </si>
  <si>
    <t>LOU(I)(Z)&gt;MTH(I)(Z)_110L1</t>
  </si>
  <si>
    <t>LOU(I)(Z)&gt;RRU(I)(Z)_110L1</t>
  </si>
  <si>
    <t>95</t>
  </si>
  <si>
    <t>LOU(I)(Z)&gt;TAN(N)(Z)_275L1</t>
  </si>
  <si>
    <t>0.127</t>
  </si>
  <si>
    <t>LOU(I)(Z)&gt;TAN(N)(Z)_275L2</t>
  </si>
  <si>
    <t>LOU(I)(Z)&gt;WOO(I)(Z)_220L1</t>
  </si>
  <si>
    <t>LSA(I)(Z)&gt;LSA(I)(T)_110L1</t>
  </si>
  <si>
    <t>LSN(I)(Z)&gt;THU(I)(Z)_110L1</t>
  </si>
  <si>
    <t>MAG(N)(Z)&gt;TMN(N)(Z)_275L1</t>
  </si>
  <si>
    <t>MAG(N)(Z)&gt;TMN(N)(Z)_275L2</t>
  </si>
  <si>
    <t>MAY(I)(Z)&gt;BLK(I)(Z)_110L1</t>
  </si>
  <si>
    <t>0.103</t>
  </si>
  <si>
    <t>MAY(I)(Z)&gt;GRI(I)(Z)_110L1</t>
  </si>
  <si>
    <t>MAY(I)(Z)&gt;RNW(I)(Z)_110L1</t>
  </si>
  <si>
    <t>MAY(I)(Z)&gt;RYB(I)(Z)_110L1</t>
  </si>
  <si>
    <t>MAY(I)(Z)&gt;SH(I)(Z)_220L1</t>
  </si>
  <si>
    <t>0.142</t>
  </si>
  <si>
    <t>MAY(I)(Z)&gt;TH(I)(Z)_220L1</t>
  </si>
  <si>
    <t>0.184</t>
  </si>
  <si>
    <t>325</t>
  </si>
  <si>
    <t>MAY(I)(Z)&gt;WOO(I)(Z)_220L1</t>
  </si>
  <si>
    <t>MCD(I)(Z)&gt;NQS(I)(Z)_110L1</t>
  </si>
  <si>
    <t>MCD(I)(Z)&gt;WOL(I)(Z)_110L1</t>
  </si>
  <si>
    <t>MHL(I)(Z)&gt;RE(I)(Z)_110L1</t>
  </si>
  <si>
    <t>MHL(I)(Z)&gt;TRN(I)(Z)_110L1</t>
  </si>
  <si>
    <t>MID(I)(Z)&gt;WHI(I)(Z)_110L1</t>
  </si>
  <si>
    <t>MIL(I)(Z)&gt;RE(I)(Z)_110L1</t>
  </si>
  <si>
    <t>MIL(I)(Z)&gt;RE(I)(Z)_110L2</t>
  </si>
  <si>
    <t>MKL(N)(Z)&gt;OMA(N)(Z)_110L1</t>
  </si>
  <si>
    <t>0.113</t>
  </si>
  <si>
    <t>139</t>
  </si>
  <si>
    <t>MLC(I)(Z)&gt;TSB(I)(Z)_110L1</t>
  </si>
  <si>
    <t>MOY(I)(Z)&gt;TAW(I)(Z)_110L1</t>
  </si>
  <si>
    <t>MOY(I)(Z)&gt;TAW(I)(Z)_110L2</t>
  </si>
  <si>
    <t>MP(I)(Z)&gt;OST(I)(Z)_380L1</t>
  </si>
  <si>
    <t>0.489</t>
  </si>
  <si>
    <t>MP(I)(Z)&gt;PRO(I)(Z)_220L1</t>
  </si>
  <si>
    <t>537</t>
  </si>
  <si>
    <t>MP(I)(Z)&gt;TBK(I)(T)_110L1</t>
  </si>
  <si>
    <t>MR(I)(Z)&gt;TBG(I)(Z)_110L1</t>
  </si>
  <si>
    <t>MR(I)(Z)&gt;TBG(I)(Z)_110L2</t>
  </si>
  <si>
    <t>MTN(I)(Z)&gt;MUN(I)(Z)_110L1</t>
  </si>
  <si>
    <t>MTN(I)(Z)&gt;MUN(I)(Z)_110L2</t>
  </si>
  <si>
    <t>NEW(I)(Z)&gt;BLK(I)(Z)_110L1</t>
  </si>
  <si>
    <t>NEW(I)(Z)&gt;PLS(I)(Z)_110L1</t>
  </si>
  <si>
    <t>0.146</t>
  </si>
  <si>
    <t>NEW(N)(Z)&gt;TAN(N)(Z)_110L1</t>
  </si>
  <si>
    <t>NEW(N)(Z)&gt;TAN(N)(Z)_110L2</t>
  </si>
  <si>
    <t>NQS(I)(Z)&gt;RE(I)(Z)_110L1</t>
  </si>
  <si>
    <t>NW(I)(Z)&gt;PB(I)(Z)_220L1</t>
  </si>
  <si>
    <t>0.261</t>
  </si>
  <si>
    <t>OMA(N)(Z)&gt;STR(N)(Z)_110L1</t>
  </si>
  <si>
    <t>OMA(N)(Z)&gt;STR(N)(Z)_110L2</t>
  </si>
  <si>
    <t>0.125</t>
  </si>
  <si>
    <t>OMA(N)(Z)&gt;TRE(N)(Z)_110L1</t>
  </si>
  <si>
    <t>ONH(I)(Z)&gt;MOY(I)(Z)_110L1</t>
  </si>
  <si>
    <t>OST(I)(Z)&gt;TYN(I)(Z)_220L1</t>
  </si>
  <si>
    <t>OST(I)(Z)&gt;WOO(I)(Z)_380L1</t>
  </si>
  <si>
    <t>0.572</t>
  </si>
  <si>
    <t>OUG(I)(Z)&gt;OUG(I)(T)_110L1</t>
  </si>
  <si>
    <t>PA(I)(Z)&gt;STR(I)(T)_110L1</t>
  </si>
  <si>
    <t>PB(I)(Z)&gt;CKM(I)(Z)_220L1</t>
  </si>
  <si>
    <t>0.579</t>
  </si>
  <si>
    <t>PB(I)(Z)&gt;PB(I)(Z)_220L1</t>
  </si>
  <si>
    <t>450</t>
  </si>
  <si>
    <t>PB(I)(Z)&gt;RE(I)(Z)_110L1</t>
  </si>
  <si>
    <t>PB(I)(Z)&gt;RE(I)(Z)_110L2</t>
  </si>
  <si>
    <t>PB(I)(Z)&gt;SHL(I)(Z)_220L1</t>
  </si>
  <si>
    <t>PRO(I)(Z)&gt;TB(I)(Z)_220L1</t>
  </si>
  <si>
    <t>0.173</t>
  </si>
  <si>
    <t>467</t>
  </si>
  <si>
    <t>RAF(I)(Z)&gt;RSY(I)(Z)_110L1</t>
  </si>
  <si>
    <t>RAF(I)(Z)&gt;TBG(I)(Z)_110L1</t>
  </si>
  <si>
    <t>RAF(I)(Z)&gt;TBG(I)(Z)_110L2</t>
  </si>
  <si>
    <t>RE(I)(Z)&gt;WBK(I)(Z)_110L1</t>
  </si>
  <si>
    <t>125</t>
  </si>
  <si>
    <t>REM(I)(Z)&gt;TRL(I)(Z)_110L1</t>
  </si>
  <si>
    <t>0.11</t>
  </si>
  <si>
    <t>0.085</t>
  </si>
  <si>
    <t>RRU(I)(Z)&gt;SKL(I)(Z)_110L1</t>
  </si>
  <si>
    <t>SBH(I)(Z)&gt;MCE(I)(Z)_110L1</t>
  </si>
  <si>
    <t>SH(I)(Z)&gt;DAL(I)(T)_110L1</t>
  </si>
  <si>
    <t>SH(I)(Z)&gt;IKE(I)(T)_110L1</t>
  </si>
  <si>
    <t>0.175</t>
  </si>
  <si>
    <t>SH(I)(Z)&gt;SOM(I)(T)_110L1</t>
  </si>
  <si>
    <t>SLI(I)(Z)&gt;SRA(I)(Z)_110L1</t>
  </si>
  <si>
    <t>SLI(I)(Z)&gt;SRA(I)(Z)_110L2</t>
  </si>
  <si>
    <t>SOM(I)(Z)&gt;SOM(I)(T)_110L1</t>
  </si>
  <si>
    <t>SOR(I)(Z)&gt;TLK(I)(Z)_110L1</t>
  </si>
  <si>
    <t>STR(I)(Z)&gt;STR(I)(T)_110L1</t>
  </si>
  <si>
    <t>TAN(N)(Z)&gt;TMN(N)(Z)_275L1</t>
  </si>
  <si>
    <t>TAN(N)(Z)&gt;TMN(N)(Z)_275L2</t>
  </si>
  <si>
    <t>TAN(N)(Z)&gt;WAR(N)(Z)_110L1</t>
  </si>
  <si>
    <t>TAN(N)(Z)&gt;WAR(N)(Z)_110L2</t>
  </si>
  <si>
    <t>TBK(I)(Z)&gt;TBK(I)(T)_110L1</t>
  </si>
  <si>
    <t>THU(I)(Z)&gt;IKE(I)(T)_110L1</t>
  </si>
  <si>
    <t>TRE(N)(Z)&gt;TMN(N)(Z)_110L1</t>
  </si>
  <si>
    <t>TRL(I)(Z)&gt;OUG(I)(T)_110L1</t>
  </si>
  <si>
    <t>WOO(I)(Z)&gt;PRT(I)(Z)_380L1</t>
  </si>
  <si>
    <t>685</t>
  </si>
  <si>
    <t>AD_T2101</t>
  </si>
  <si>
    <t>ARK_T2101</t>
  </si>
  <si>
    <t>0.18</t>
  </si>
  <si>
    <t>ARK_T2102</t>
  </si>
  <si>
    <t>0.0021</t>
  </si>
  <si>
    <t>0.1237</t>
  </si>
  <si>
    <t>BLC_T2101</t>
  </si>
  <si>
    <t>0.0646</t>
  </si>
  <si>
    <t>250</t>
  </si>
  <si>
    <t>BVK_T2101</t>
  </si>
  <si>
    <t>BVK_T2102</t>
  </si>
  <si>
    <t>BYH_T2101</t>
  </si>
  <si>
    <t>BYH_T2102</t>
  </si>
  <si>
    <t>CBT_T2101</t>
  </si>
  <si>
    <t>CBT_T2102</t>
  </si>
  <si>
    <t>CBT_T2103</t>
  </si>
  <si>
    <t>CBT_T2104</t>
  </si>
  <si>
    <t>CDU_T2101</t>
  </si>
  <si>
    <t>0.00093</t>
  </si>
  <si>
    <t>0.06152</t>
  </si>
  <si>
    <t>CDU_T2102</t>
  </si>
  <si>
    <t>0.00066</t>
  </si>
  <si>
    <t>CKM_PST2201</t>
  </si>
  <si>
    <t>CKM_T2101</t>
  </si>
  <si>
    <t>CKM_T2102</t>
  </si>
  <si>
    <t>CKM_T2103</t>
  </si>
  <si>
    <t>CKM_T2104</t>
  </si>
  <si>
    <t>0.0631</t>
  </si>
  <si>
    <t>CLA_T2102</t>
  </si>
  <si>
    <t>0.0013</t>
  </si>
  <si>
    <t>0.0647</t>
  </si>
  <si>
    <t>CSH_T2101</t>
  </si>
  <si>
    <t>CSH_T2102</t>
  </si>
  <si>
    <t>CSH_T2104</t>
  </si>
  <si>
    <t>0.1332</t>
  </si>
  <si>
    <t>175</t>
  </si>
  <si>
    <t>CUL_T2101</t>
  </si>
  <si>
    <t>0.0005</t>
  </si>
  <si>
    <t>DSN_T4201</t>
  </si>
  <si>
    <t>0.0002</t>
  </si>
  <si>
    <t>0.0317</t>
  </si>
  <si>
    <t>500</t>
  </si>
  <si>
    <t>DSN_T4202</t>
  </si>
  <si>
    <t>0.0003</t>
  </si>
  <si>
    <t>FIN_T2101</t>
  </si>
  <si>
    <t>0.0651</t>
  </si>
  <si>
    <t>FIN_T2102</t>
  </si>
  <si>
    <t>0.0648</t>
  </si>
  <si>
    <t>FIN_T2103</t>
  </si>
  <si>
    <t>FIN_T2104</t>
  </si>
  <si>
    <t>0.0638</t>
  </si>
  <si>
    <t>FIN_T2105</t>
  </si>
  <si>
    <t>FLA_T2101</t>
  </si>
  <si>
    <t>0.0027</t>
  </si>
  <si>
    <t>FLA_T2102</t>
  </si>
  <si>
    <t>0.0008</t>
  </si>
  <si>
    <t>0.1331</t>
  </si>
  <si>
    <t>GI_T2101</t>
  </si>
  <si>
    <t>0.0026</t>
  </si>
  <si>
    <t>GI_T2102</t>
  </si>
  <si>
    <t>GOR_T2101</t>
  </si>
  <si>
    <t>INC_T2102</t>
  </si>
  <si>
    <t>0.0564</t>
  </si>
  <si>
    <t>INC_T2104</t>
  </si>
  <si>
    <t>INC_T2101</t>
  </si>
  <si>
    <t>INC_T2103</t>
  </si>
  <si>
    <t>KLN_T2101</t>
  </si>
  <si>
    <t>0.0065</t>
  </si>
  <si>
    <t>0.2453</t>
  </si>
  <si>
    <t>KLN_T2102</t>
  </si>
  <si>
    <t>0.0095</t>
  </si>
  <si>
    <t>0.2473</t>
  </si>
  <si>
    <t>KLN_T2103</t>
  </si>
  <si>
    <t>KLN_T2104</t>
  </si>
  <si>
    <t>KLP_T2101</t>
  </si>
  <si>
    <t>KLP_T2102</t>
  </si>
  <si>
    <t>KLS_T2101</t>
  </si>
  <si>
    <t>0.00132</t>
  </si>
  <si>
    <t>KLS_T2102</t>
  </si>
  <si>
    <t>KNR_T2101</t>
  </si>
  <si>
    <t>KNR_T2102</t>
  </si>
  <si>
    <t>BLC_BELCAMP</t>
  </si>
  <si>
    <t>CLA_T2101</t>
  </si>
  <si>
    <t>KRA_T2101</t>
  </si>
  <si>
    <t>KRA_T2102</t>
  </si>
  <si>
    <t>0.0652</t>
  </si>
  <si>
    <t>LWD_T2101</t>
  </si>
  <si>
    <t>LOU_T2101</t>
  </si>
  <si>
    <t>0.0022</t>
  </si>
  <si>
    <t>LOU_T2103</t>
  </si>
  <si>
    <t>0.1324</t>
  </si>
  <si>
    <t>LOU_T2102</t>
  </si>
  <si>
    <t>LOU_T2104</t>
  </si>
  <si>
    <t>LOU_AT1</t>
  </si>
  <si>
    <t>300</t>
  </si>
  <si>
    <t>LOU_AT2</t>
  </si>
  <si>
    <t>600</t>
  </si>
  <si>
    <t>LOU_AT3</t>
  </si>
  <si>
    <t>0.0303</t>
  </si>
  <si>
    <t>MAY_T2101</t>
  </si>
  <si>
    <t>0.1339</t>
  </si>
  <si>
    <t>MAY_T2102</t>
  </si>
  <si>
    <t>MAY_T2103</t>
  </si>
  <si>
    <t>MAY_T2104</t>
  </si>
  <si>
    <t>MP_T4202_01</t>
  </si>
  <si>
    <t>MP_T2101</t>
  </si>
  <si>
    <t>MP_T4202_2</t>
  </si>
  <si>
    <t>0.0329</t>
  </si>
  <si>
    <t>OST_T4202</t>
  </si>
  <si>
    <t>PB_T2103</t>
  </si>
  <si>
    <t>PB_T2104</t>
  </si>
  <si>
    <t>0.0609</t>
  </si>
  <si>
    <t>RAF_T2101</t>
  </si>
  <si>
    <t>RAF_T2102</t>
  </si>
  <si>
    <t>0.000446</t>
  </si>
  <si>
    <t>0.0558</t>
  </si>
  <si>
    <t>SH_T2102</t>
  </si>
  <si>
    <t>0.00131</t>
  </si>
  <si>
    <t>SH_T2101</t>
  </si>
  <si>
    <t>0.00574</t>
  </si>
  <si>
    <t>SRA_T2102</t>
  </si>
  <si>
    <t>TB_T2101</t>
  </si>
  <si>
    <t>0.00099</t>
  </si>
  <si>
    <t>0.0554</t>
  </si>
  <si>
    <t>TB_T2102</t>
  </si>
  <si>
    <t>WOO_T4201</t>
  </si>
  <si>
    <t>0.0316</t>
  </si>
  <si>
    <t>WOO_T4202</t>
  </si>
  <si>
    <t>WOO_T4204</t>
  </si>
  <si>
    <t>550</t>
  </si>
  <si>
    <t>WOO_WOODLAND</t>
  </si>
  <si>
    <t>582</t>
  </si>
  <si>
    <t>AGH_1</t>
  </si>
  <si>
    <t>90</t>
  </si>
  <si>
    <t>ANT_1</t>
  </si>
  <si>
    <t>ANT_2</t>
  </si>
  <si>
    <t>MKL_1</t>
  </si>
  <si>
    <t>MKL_2</t>
  </si>
  <si>
    <t>BMA_1</t>
  </si>
  <si>
    <t>BMA_2</t>
  </si>
  <si>
    <t>BMA_3</t>
  </si>
  <si>
    <t>BMA_4</t>
  </si>
  <si>
    <t>BAN_1</t>
  </si>
  <si>
    <t>30</t>
  </si>
  <si>
    <t>BAN_2</t>
  </si>
  <si>
    <t>BAN_3</t>
  </si>
  <si>
    <t>BAN_4</t>
  </si>
  <si>
    <t>BNH_1</t>
  </si>
  <si>
    <t>BNH_2</t>
  </si>
  <si>
    <t>BNM_1</t>
  </si>
  <si>
    <t>BNM_2</t>
  </si>
  <si>
    <t>BRO</t>
  </si>
  <si>
    <t>CAR_1</t>
  </si>
  <si>
    <t>CAR_2</t>
  </si>
  <si>
    <t>CEN_1</t>
  </si>
  <si>
    <t>CEN_2</t>
  </si>
  <si>
    <t>COL (N)_1</t>
  </si>
  <si>
    <t>60</t>
  </si>
  <si>
    <t>COL (N)_2</t>
  </si>
  <si>
    <t>CPS_1_110/33</t>
  </si>
  <si>
    <t>CPS_2_110/33</t>
  </si>
  <si>
    <t>CRG_1</t>
  </si>
  <si>
    <t>CRG_2</t>
  </si>
  <si>
    <t>CRE_1</t>
  </si>
  <si>
    <t>CRE_2</t>
  </si>
  <si>
    <t>DON_1</t>
  </si>
  <si>
    <t>DON_2</t>
  </si>
  <si>
    <t>DON_3</t>
  </si>
  <si>
    <t>DON_4</t>
  </si>
  <si>
    <t>DRU (N)_1</t>
  </si>
  <si>
    <t>DRU (N)_2</t>
  </si>
  <si>
    <t>CRR</t>
  </si>
  <si>
    <t>DUN_1</t>
  </si>
  <si>
    <t>DUN_2</t>
  </si>
  <si>
    <t>EDE_1</t>
  </si>
  <si>
    <t>45</t>
  </si>
  <si>
    <t>EDE_2</t>
  </si>
  <si>
    <t>ENN (N)_1</t>
  </si>
  <si>
    <t>ENN (N)_2</t>
  </si>
  <si>
    <t>ENN (N)_3</t>
  </si>
  <si>
    <t>FIN (N)_1</t>
  </si>
  <si>
    <t>FIN (N)_2</t>
  </si>
  <si>
    <t>GLE (N)</t>
  </si>
  <si>
    <t>GOR (N)</t>
  </si>
  <si>
    <t>KMT</t>
  </si>
  <si>
    <t>KNO_1</t>
  </si>
  <si>
    <t>KNO_2</t>
  </si>
  <si>
    <t>LAR_1</t>
  </si>
  <si>
    <t>LAR_2</t>
  </si>
  <si>
    <t>LIM (N)_1</t>
  </si>
  <si>
    <t>LIM (N)_2</t>
  </si>
  <si>
    <t>LIS (N)_1</t>
  </si>
  <si>
    <t>LIS (N)_2</t>
  </si>
  <si>
    <t>LMR_1</t>
  </si>
  <si>
    <t>LMR_2</t>
  </si>
  <si>
    <t>LOG_1</t>
  </si>
  <si>
    <t>LOG_2</t>
  </si>
  <si>
    <t>NAR_1</t>
  </si>
  <si>
    <t>NAR_2</t>
  </si>
  <si>
    <t>NEW (N)_1</t>
  </si>
  <si>
    <t>NEW (N)_2</t>
  </si>
  <si>
    <t>OMA_1</t>
  </si>
  <si>
    <t>OMA_2</t>
  </si>
  <si>
    <t>RSK</t>
  </si>
  <si>
    <t>RAT (N)_1</t>
  </si>
  <si>
    <t>RAT (N)_2</t>
  </si>
  <si>
    <t>ROS_1</t>
  </si>
  <si>
    <t>ROS_2</t>
  </si>
  <si>
    <t>SPR_1</t>
  </si>
  <si>
    <t>SPR_2</t>
  </si>
  <si>
    <t>STR (N)_1</t>
  </si>
  <si>
    <t>STR (N)_2</t>
  </si>
  <si>
    <t>TRE</t>
  </si>
  <si>
    <t>TMN</t>
  </si>
  <si>
    <t>WAR_1</t>
  </si>
  <si>
    <t>WAR_2</t>
  </si>
  <si>
    <t>BPS_1</t>
  </si>
  <si>
    <t>0.0018</t>
  </si>
  <si>
    <t>0.0641</t>
  </si>
  <si>
    <t>240</t>
  </si>
  <si>
    <t>BPS_2</t>
  </si>
  <si>
    <t>CAS_1</t>
  </si>
  <si>
    <t>0.0014</t>
  </si>
  <si>
    <t>0.0639</t>
  </si>
  <si>
    <t>CAS_2</t>
  </si>
  <si>
    <t>CAS_3</t>
  </si>
  <si>
    <t>0.0656</t>
  </si>
  <si>
    <t>CPS_1</t>
  </si>
  <si>
    <t>0.0699</t>
  </si>
  <si>
    <t>CPS_2</t>
  </si>
  <si>
    <t>HAN_1</t>
  </si>
  <si>
    <t>0.0591</t>
  </si>
  <si>
    <t>HAN_2</t>
  </si>
  <si>
    <t>HAN_3</t>
  </si>
  <si>
    <t>KEL_1</t>
  </si>
  <si>
    <t>KEL_2</t>
  </si>
  <si>
    <t>0.0607</t>
  </si>
  <si>
    <t>TAN_1</t>
  </si>
  <si>
    <t>TAN_2</t>
  </si>
  <si>
    <t>TAN_3</t>
  </si>
  <si>
    <t>0.0698</t>
  </si>
  <si>
    <t>TMN_1</t>
  </si>
  <si>
    <t>0.0644</t>
  </si>
  <si>
    <t>TMN_2</t>
  </si>
  <si>
    <t>Market ID</t>
  </si>
  <si>
    <t xml:space="preserve">EWIC			</t>
  </si>
  <si>
    <t>EWIC</t>
  </si>
  <si>
    <t/>
  </si>
  <si>
    <t>interconnector</t>
  </si>
  <si>
    <t xml:space="preserve">Dromdeeveen Windfarm                                          </t>
  </si>
  <si>
    <t>GU_401240</t>
  </si>
  <si>
    <t>DV1</t>
  </si>
  <si>
    <t>wind</t>
  </si>
  <si>
    <t xml:space="preserve">Greenlink			</t>
  </si>
  <si>
    <t>I_ROIGRLK</t>
  </si>
  <si>
    <t>GLK</t>
  </si>
  <si>
    <t xml:space="preserve">Sliabh Bawn Windfarm                                          </t>
  </si>
  <si>
    <t>GU_401900</t>
  </si>
  <si>
    <t>SB1</t>
  </si>
  <si>
    <t xml:space="preserve">Knockalassa Windfarm                                          </t>
  </si>
  <si>
    <t>GU_403940</t>
  </si>
  <si>
    <t>KD1</t>
  </si>
  <si>
    <t xml:space="preserve">Boolinrudda Windfarm                                          </t>
  </si>
  <si>
    <t>GU_402270</t>
  </si>
  <si>
    <t>RD1</t>
  </si>
  <si>
    <t>Oweninny Wind Farm</t>
  </si>
  <si>
    <t>GU_403760</t>
  </si>
  <si>
    <t>OY1</t>
  </si>
  <si>
    <t>Oweninny 2 Windfarm</t>
  </si>
  <si>
    <t>GU_405130</t>
  </si>
  <si>
    <t>OY2</t>
  </si>
  <si>
    <t xml:space="preserve">Knockawarriga 1 Windfarm                                      </t>
  </si>
  <si>
    <t>GU_404200</t>
  </si>
  <si>
    <t>KW1</t>
  </si>
  <si>
    <t xml:space="preserve">Tournafulla Generatot Unit                                    </t>
  </si>
  <si>
    <t>GU_400600</t>
  </si>
  <si>
    <t>TN2</t>
  </si>
  <si>
    <t xml:space="preserve">AGHADA CT11 Generator Unit                                    </t>
  </si>
  <si>
    <t>GU_400181</t>
  </si>
  <si>
    <t>AT1</t>
  </si>
  <si>
    <t>S_REP_ROI,S_MWMAX_CRK_MW,S_MWMAX_STH_MW</t>
  </si>
  <si>
    <t>multi_fuel</t>
  </si>
  <si>
    <t>12033.5</t>
  </si>
  <si>
    <t xml:space="preserve">AGHADA CT12 Generator Unit                                    </t>
  </si>
  <si>
    <t>GU_400182</t>
  </si>
  <si>
    <t>AT2</t>
  </si>
  <si>
    <t xml:space="preserve">AGHADA CT14 Generator Unit                                    </t>
  </si>
  <si>
    <t>GU_400183</t>
  </si>
  <si>
    <t>AT4</t>
  </si>
  <si>
    <t xml:space="preserve">Aghada 2 Generator Unit                                       </t>
  </si>
  <si>
    <t>GU_400850</t>
  </si>
  <si>
    <t>AD2</t>
  </si>
  <si>
    <t>S_NBMIN_ROImin,S_MWMAX_CRK_MW,S_MWMAX_STH_MW</t>
  </si>
  <si>
    <t>57991.36</t>
  </si>
  <si>
    <t xml:space="preserve">Molly Mountain Wind Farm                                      </t>
  </si>
  <si>
    <t>GU_503860</t>
  </si>
  <si>
    <t>MYM</t>
  </si>
  <si>
    <t>Slieve Rushen Windfarm</t>
  </si>
  <si>
    <t>GU_503900</t>
  </si>
  <si>
    <t>SL2</t>
  </si>
  <si>
    <t>Corby Knowe Windfarm</t>
  </si>
  <si>
    <t>GU_501410</t>
  </si>
  <si>
    <t>CBY</t>
  </si>
  <si>
    <t xml:space="preserve">Ardnacrusha 1 Generator Unit                                  </t>
  </si>
  <si>
    <t>GU_400200</t>
  </si>
  <si>
    <t>AA1</t>
  </si>
  <si>
    <t>hydro</t>
  </si>
  <si>
    <t xml:space="preserve">Ardnacrusha 2 Generator Unit                                  </t>
  </si>
  <si>
    <t>GU_400201</t>
  </si>
  <si>
    <t>AA2</t>
  </si>
  <si>
    <t xml:space="preserve">Ardnacrusha 3 Generator Unit                                  </t>
  </si>
  <si>
    <t>GU_400202</t>
  </si>
  <si>
    <t>AA3</t>
  </si>
  <si>
    <t xml:space="preserve">Ardnacrusha 4 Generator Unit                                  </t>
  </si>
  <si>
    <t>GU_400203</t>
  </si>
  <si>
    <t>AA4</t>
  </si>
  <si>
    <t xml:space="preserve">ESB Arklow Bank                                               </t>
  </si>
  <si>
    <t>GU_401020</t>
  </si>
  <si>
    <t>ABK</t>
  </si>
  <si>
    <t xml:space="preserve">Raheenleagh                                                   </t>
  </si>
  <si>
    <t>GU_401940</t>
  </si>
  <si>
    <t>RL1</t>
  </si>
  <si>
    <t xml:space="preserve">Ballycumber Windfarm                                          </t>
  </si>
  <si>
    <t>GU_404460</t>
  </si>
  <si>
    <t>YR1</t>
  </si>
  <si>
    <t xml:space="preserve">Athea Wind Farm                                               </t>
  </si>
  <si>
    <t>GU_401380</t>
  </si>
  <si>
    <t>AH1</t>
  </si>
  <si>
    <t xml:space="preserve">Beenanaspuck and Tobertoreen Windfarm                         </t>
  </si>
  <si>
    <t>GU_404000</t>
  </si>
  <si>
    <t>XT1</t>
  </si>
  <si>
    <t xml:space="preserve">Sealrock 3 Generator Unit                                     </t>
  </si>
  <si>
    <t>GU_400120</t>
  </si>
  <si>
    <t>SK3</t>
  </si>
  <si>
    <t>12837</t>
  </si>
  <si>
    <t xml:space="preserve">Sealrock 4 Generator Unit                                     </t>
  </si>
  <si>
    <t>GU_400121</t>
  </si>
  <si>
    <t>SK4</t>
  </si>
  <si>
    <t xml:space="preserve">Ballylumford GT1		</t>
  </si>
  <si>
    <t>GU_500283</t>
  </si>
  <si>
    <t>BGT1</t>
  </si>
  <si>
    <t>S_MWMAX_NI_GT</t>
  </si>
  <si>
    <t>distillate</t>
  </si>
  <si>
    <t>20696.55</t>
  </si>
  <si>
    <t xml:space="preserve">Ballylumford GT2	</t>
  </si>
  <si>
    <t>GU_500284</t>
  </si>
  <si>
    <t>BGT2</t>
  </si>
  <si>
    <t>18208.86</t>
  </si>
  <si>
    <t xml:space="preserve">Ballylumford Generator Unit B10	</t>
  </si>
  <si>
    <t>GU_503740</t>
  </si>
  <si>
    <t>B10</t>
  </si>
  <si>
    <t>S_NBMIN_MINNIU</t>
  </si>
  <si>
    <t>gas</t>
  </si>
  <si>
    <t>12758.51</t>
  </si>
  <si>
    <t xml:space="preserve">Ballylumford Generator Unit B31	</t>
  </si>
  <si>
    <t>GU_503720</t>
  </si>
  <si>
    <t>B31</t>
  </si>
  <si>
    <t>22451.27</t>
  </si>
  <si>
    <t xml:space="preserve">Ballylumford Generator Unit B32	</t>
  </si>
  <si>
    <t>GU_503730</t>
  </si>
  <si>
    <t>B32</t>
  </si>
  <si>
    <t xml:space="preserve">Moyle				 </t>
  </si>
  <si>
    <t>MOYLE</t>
  </si>
  <si>
    <t>M</t>
  </si>
  <si>
    <t>Ballywater Windfarm</t>
  </si>
  <si>
    <t>GU_405890</t>
  </si>
  <si>
    <t>BW1</t>
  </si>
  <si>
    <t>Hilltown Solar Farm</t>
  </si>
  <si>
    <t>GU_405090</t>
  </si>
  <si>
    <t>HS1</t>
  </si>
  <si>
    <t>solar</t>
  </si>
  <si>
    <t xml:space="preserve">Rathsherry Wind Farm                                          </t>
  </si>
  <si>
    <t>GU_501680</t>
  </si>
  <si>
    <t>RHY</t>
  </si>
  <si>
    <t xml:space="preserve">Elginny Hill Wind Farm                                        </t>
  </si>
  <si>
    <t>GU_501720</t>
  </si>
  <si>
    <t>EGH</t>
  </si>
  <si>
    <t>Ballydown Battery</t>
  </si>
  <si>
    <t>GU_504250</t>
  </si>
  <si>
    <t>BLD</t>
  </si>
  <si>
    <t xml:space="preserve">Barranafaddock Windfarm                                       </t>
  </si>
  <si>
    <t>GU_401810</t>
  </si>
  <si>
    <t>BF1</t>
  </si>
  <si>
    <t>Sheskin Windfarm</t>
  </si>
  <si>
    <t>GU_406560</t>
  </si>
  <si>
    <t>SS1</t>
  </si>
  <si>
    <t xml:space="preserve">Clady Generating Station                                      </t>
  </si>
  <si>
    <t>GU_401190</t>
  </si>
  <si>
    <t>CU1</t>
  </si>
  <si>
    <t xml:space="preserve">Airoshin Generator Unit                                       </t>
  </si>
  <si>
    <t>GU_405870</t>
  </si>
  <si>
    <t>MC1</t>
  </si>
  <si>
    <t xml:space="preserve">Clogheravaddy WF 2                                            </t>
  </si>
  <si>
    <t>GU_404630</t>
  </si>
  <si>
    <t>YV2</t>
  </si>
  <si>
    <t>Blundelstown Solar Farm</t>
  </si>
  <si>
    <t>GU_406520</t>
  </si>
  <si>
    <t>NA1</t>
  </si>
  <si>
    <t xml:space="preserve">Boggeragh Windfarm Generator Unit                             </t>
  </si>
  <si>
    <t>GU_400910</t>
  </si>
  <si>
    <t>BG1</t>
  </si>
  <si>
    <t xml:space="preserve">Boggeragh 2 Windfarm                                          </t>
  </si>
  <si>
    <t>GU_401840</t>
  </si>
  <si>
    <t>BG2</t>
  </si>
  <si>
    <t xml:space="preserve">Esk Windfarm                                                  </t>
  </si>
  <si>
    <t>GU_404340</t>
  </si>
  <si>
    <t>ES1</t>
  </si>
  <si>
    <t>Carraigcannon Windfarm</t>
  </si>
  <si>
    <t>GU_401070</t>
  </si>
  <si>
    <t>CD1</t>
  </si>
  <si>
    <t>Moanvane Windfarm</t>
  </si>
  <si>
    <t>GU_407330</t>
  </si>
  <si>
    <t>QA1</t>
  </si>
  <si>
    <t xml:space="preserve">Booltiagh Windfarm                                            </t>
  </si>
  <si>
    <t>GU_401720</t>
  </si>
  <si>
    <t>BT1</t>
  </si>
  <si>
    <t xml:space="preserve">Booltiagh 2 Wind Farm                                         </t>
  </si>
  <si>
    <t>GU_401730</t>
  </si>
  <si>
    <t>BT2</t>
  </si>
  <si>
    <t xml:space="preserve">Lissycasey Windfarm                                           </t>
  </si>
  <si>
    <t>GU_403950</t>
  </si>
  <si>
    <t>LY1</t>
  </si>
  <si>
    <t xml:space="preserve">Sorrell Island 1 Windfarm                                     </t>
  </si>
  <si>
    <t>GU_403800</t>
  </si>
  <si>
    <t>SF1</t>
  </si>
  <si>
    <t xml:space="preserve">Sorrell Island 2 Windfarm                                     </t>
  </si>
  <si>
    <t>GU_404480</t>
  </si>
  <si>
    <t>SF2</t>
  </si>
  <si>
    <t xml:space="preserve">Boolynagleragh Windfarm                                       </t>
  </si>
  <si>
    <t>GU_403770</t>
  </si>
  <si>
    <t>BJ1</t>
  </si>
  <si>
    <t xml:space="preserve">Brockaghboy                                                   </t>
  </si>
  <si>
    <t>GU_501670</t>
  </si>
  <si>
    <t>BKY</t>
  </si>
  <si>
    <t xml:space="preserve">Ballymacadam Solar Farm		 </t>
  </si>
  <si>
    <t>GU_406710</t>
  </si>
  <si>
    <t>YM1</t>
  </si>
  <si>
    <t xml:space="preserve">Gortahile Windfarm Ltd Generator Unit                         </t>
  </si>
  <si>
    <t>GU_401060</t>
  </si>
  <si>
    <t>GE1</t>
  </si>
  <si>
    <t xml:space="preserve">Carn Hill Wind Farm                                           </t>
  </si>
  <si>
    <t>GU_501210</t>
  </si>
  <si>
    <t>CNH</t>
  </si>
  <si>
    <t xml:space="preserve">Carrigadrohid Generator Unit                                  </t>
  </si>
  <si>
    <t>GU_400290</t>
  </si>
  <si>
    <t>LE3</t>
  </si>
  <si>
    <t xml:space="preserve">Carrigdangan Windfarm                                         </t>
  </si>
  <si>
    <t>GU_404330</t>
  </si>
  <si>
    <t>XA1</t>
  </si>
  <si>
    <t>Raheen Barr Wind Farm</t>
  </si>
  <si>
    <t>GU_403740</t>
  </si>
  <si>
    <t>MX1</t>
  </si>
  <si>
    <t>Acres Windfarm</t>
  </si>
  <si>
    <t>GU_401820</t>
  </si>
  <si>
    <t>AS1</t>
  </si>
  <si>
    <t xml:space="preserve">Erne 3 Generator Unit                                         </t>
  </si>
  <si>
    <t>GU_400220</t>
  </si>
  <si>
    <t>ER3</t>
  </si>
  <si>
    <t xml:space="preserve">Erne 4 Generator Unit                                         </t>
  </si>
  <si>
    <t>GU_400221</t>
  </si>
  <si>
    <t>ER4</t>
  </si>
  <si>
    <t xml:space="preserve">Cappawhite                                                    </t>
  </si>
  <si>
    <t>GU_402150</t>
  </si>
  <si>
    <t>CP1</t>
  </si>
  <si>
    <t xml:space="preserve">Cappawhite B Windfarm                                         </t>
  </si>
  <si>
    <t>GU_402340</t>
  </si>
  <si>
    <t>CP3</t>
  </si>
  <si>
    <t xml:space="preserve">Garracummer Wind Farm Ltd                                     </t>
  </si>
  <si>
    <t>GU_401740</t>
  </si>
  <si>
    <t>GM1</t>
  </si>
  <si>
    <t xml:space="preserve">Glenough Windfarm                                             </t>
  </si>
  <si>
    <t>GU_401250</t>
  </si>
  <si>
    <t>GU1</t>
  </si>
  <si>
    <t xml:space="preserve">Glencarbry Windfarm                                           </t>
  </si>
  <si>
    <t>GU_404470</t>
  </si>
  <si>
    <t>GY1</t>
  </si>
  <si>
    <t xml:space="preserve">Knocknatallig Windfarm                                        </t>
  </si>
  <si>
    <t>GU_403930</t>
  </si>
  <si>
    <t>KQ1</t>
  </si>
  <si>
    <t xml:space="preserve">Castlepook Windfarm                                           </t>
  </si>
  <si>
    <t>GU_402190</t>
  </si>
  <si>
    <t>PO1</t>
  </si>
  <si>
    <t xml:space="preserve">Pallas Generator Unit                                         </t>
  </si>
  <si>
    <t>GU_400660</t>
  </si>
  <si>
    <t>CJ1</t>
  </si>
  <si>
    <t xml:space="preserve">Clahane 2 Windfarm                                            </t>
  </si>
  <si>
    <t>GU_401980</t>
  </si>
  <si>
    <t>CJ2</t>
  </si>
  <si>
    <t xml:space="preserve">Erne 1 Generator Unit                                         </t>
  </si>
  <si>
    <t>GU_400210</t>
  </si>
  <si>
    <t>ER1</t>
  </si>
  <si>
    <t xml:space="preserve">Erne 2 Generator Unit                                         </t>
  </si>
  <si>
    <t>GU_400211</t>
  </si>
  <si>
    <t>ER2</t>
  </si>
  <si>
    <t xml:space="preserve">Cloghboola Wind Farm                                          </t>
  </si>
  <si>
    <t>GU_404570</t>
  </si>
  <si>
    <t>CL1</t>
  </si>
  <si>
    <t xml:space="preserve">Glanaruddery 1 Windfarm                                       </t>
  </si>
  <si>
    <t>GU_404490</t>
  </si>
  <si>
    <t>DA1</t>
  </si>
  <si>
    <t xml:space="preserve">Glanaruddery 2 Windfarm                                       </t>
  </si>
  <si>
    <t>GU_404500</t>
  </si>
  <si>
    <t>DA2</t>
  </si>
  <si>
    <t>Cloghanaleskirt Windfarm</t>
  </si>
  <si>
    <t>GU_402280</t>
  </si>
  <si>
    <t>KI1</t>
  </si>
  <si>
    <t>Croaghonagh Windfarm</t>
  </si>
  <si>
    <t>GU_404930</t>
  </si>
  <si>
    <t>OA1</t>
  </si>
  <si>
    <t xml:space="preserve">Garves Wind Farm                                              </t>
  </si>
  <si>
    <t>GU_500720</t>
  </si>
  <si>
    <t>GAR</t>
  </si>
  <si>
    <t xml:space="preserve">Gruig Wind Farm                                               </t>
  </si>
  <si>
    <t>GU_504240</t>
  </si>
  <si>
    <t>GRU</t>
  </si>
  <si>
    <t xml:space="preserve">Dunmore Wind Farm                                             </t>
  </si>
  <si>
    <t>GU_501250</t>
  </si>
  <si>
    <t>DMR</t>
  </si>
  <si>
    <t xml:space="preserve">Dunbeg Wind Farm                                              </t>
  </si>
  <si>
    <t>GU_503920</t>
  </si>
  <si>
    <t>DBG</t>
  </si>
  <si>
    <t>Lisahally Biomass Generator</t>
  </si>
  <si>
    <t>GU_501350</t>
  </si>
  <si>
    <t>LPS</t>
  </si>
  <si>
    <t>biomass</t>
  </si>
  <si>
    <t>47815.76</t>
  </si>
  <si>
    <t xml:space="preserve">Monnaboy Wind Farm                                            </t>
  </si>
  <si>
    <t>GU_501360</t>
  </si>
  <si>
    <t>MBY</t>
  </si>
  <si>
    <t xml:space="preserve">Coolkeeragh		</t>
  </si>
  <si>
    <t>GU_500040</t>
  </si>
  <si>
    <t>CGT8</t>
  </si>
  <si>
    <t>96443.23</t>
  </si>
  <si>
    <t>GU_500041</t>
  </si>
  <si>
    <t>C30</t>
  </si>
  <si>
    <t>S_NBMIN_MINNIU,S_NBMIN_MINNI3,S_NBMIN_CPS</t>
  </si>
  <si>
    <t>17041.17</t>
  </si>
  <si>
    <t xml:space="preserve">Coomagearlahy Generator Unit                                  </t>
  </si>
  <si>
    <t>GU_404210</t>
  </si>
  <si>
    <t>CG1</t>
  </si>
  <si>
    <t xml:space="preserve">SWS Green Energy Gen Unit (Sillahertane)                      </t>
  </si>
  <si>
    <t>GU_400730</t>
  </si>
  <si>
    <t>CG2</t>
  </si>
  <si>
    <t xml:space="preserve">SWS Kilgarvan Ext Inchincoosh                                 </t>
  </si>
  <si>
    <t>GU_400731</t>
  </si>
  <si>
    <t>CG3</t>
  </si>
  <si>
    <t xml:space="preserve">Cleanrath		</t>
  </si>
  <si>
    <t>GU_403810</t>
  </si>
  <si>
    <t>YT1</t>
  </si>
  <si>
    <t xml:space="preserve">Grousemount Windfarm                                          </t>
  </si>
  <si>
    <t>GU_403790</t>
  </si>
  <si>
    <t>GD1</t>
  </si>
  <si>
    <t xml:space="preserve">Cordal 1 Windfarm                                             </t>
  </si>
  <si>
    <t>GU_402110</t>
  </si>
  <si>
    <t>DL1</t>
  </si>
  <si>
    <t xml:space="preserve">Cordal 2 Windfarm                                             </t>
  </si>
  <si>
    <t>GU_402130</t>
  </si>
  <si>
    <t>DL2</t>
  </si>
  <si>
    <t xml:space="preserve">Coollegrean Windfarm                                          </t>
  </si>
  <si>
    <t>GU_403920</t>
  </si>
  <si>
    <t>OG1</t>
  </si>
  <si>
    <t xml:space="preserve">Scartaglen 1 Windfarm                                         </t>
  </si>
  <si>
    <t>GU_402250</t>
  </si>
  <si>
    <t>ST1</t>
  </si>
  <si>
    <t xml:space="preserve">Scartaglen 2 Windfarm                                         </t>
  </si>
  <si>
    <t>GU_402260</t>
  </si>
  <si>
    <t>ST2</t>
  </si>
  <si>
    <t xml:space="preserve">Tullynamoyle Windfarm 2                                       </t>
  </si>
  <si>
    <t>GU_402160</t>
  </si>
  <si>
    <t>TM2</t>
  </si>
  <si>
    <t xml:space="preserve">Tullynamoyle 3 Windfarm                                     </t>
  </si>
  <si>
    <t>GU_402200</t>
  </si>
  <si>
    <t>TM3</t>
  </si>
  <si>
    <t xml:space="preserve">Corduff_OCGT			</t>
  </si>
  <si>
    <t>GU_403680</t>
  </si>
  <si>
    <t>FG2</t>
  </si>
  <si>
    <t>S_REP_ROI</t>
  </si>
  <si>
    <t>5161.24</t>
  </si>
  <si>
    <t xml:space="preserve">Dunneil Windfarm (Kingsmountain Phase 2)                      </t>
  </si>
  <si>
    <t>GU_400021</t>
  </si>
  <si>
    <t>KG2</t>
  </si>
  <si>
    <t xml:space="preserve">Kingsmountain Generator Unit                                  </t>
  </si>
  <si>
    <t>GU_400020</t>
  </si>
  <si>
    <t>KGM</t>
  </si>
  <si>
    <t xml:space="preserve">Edenderry Power Supply                                        </t>
  </si>
  <si>
    <t>GU_401860</t>
  </si>
  <si>
    <t>ED1</t>
  </si>
  <si>
    <t>peat</t>
  </si>
  <si>
    <t>30753.26</t>
  </si>
  <si>
    <t xml:space="preserve">Cushaling Power                             </t>
  </si>
  <si>
    <t>GU_401010</t>
  </si>
  <si>
    <t>ED3</t>
  </si>
  <si>
    <t>925.19</t>
  </si>
  <si>
    <t xml:space="preserve">Cushaling Power                                          </t>
  </si>
  <si>
    <t>GU_401011</t>
  </si>
  <si>
    <t>ED5</t>
  </si>
  <si>
    <t xml:space="preserve">Magheramore Windfarm                                          </t>
  </si>
  <si>
    <t>GU_403400</t>
  </si>
  <si>
    <t>MM1</t>
  </si>
  <si>
    <t xml:space="preserve">Gaskinstown Solar Farm		</t>
  </si>
  <si>
    <t>GU_407030</t>
  </si>
  <si>
    <t>QB1</t>
  </si>
  <si>
    <t xml:space="preserve">Derrybrien Wind Farm                                          </t>
  </si>
  <si>
    <t>GU_401440</t>
  </si>
  <si>
    <t>DY1</t>
  </si>
  <si>
    <t xml:space="preserve">Lumcloon ESS 1                                                </t>
  </si>
  <si>
    <t>GU_407520</t>
  </si>
  <si>
    <t>LU1</t>
  </si>
  <si>
    <t xml:space="preserve">Lumcloon ESS 2                                                </t>
  </si>
  <si>
    <t>GU_407530</t>
  </si>
  <si>
    <t>LU2</t>
  </si>
  <si>
    <t xml:space="preserve">Cloghan Wind Farm		</t>
  </si>
  <si>
    <t>GU_405160</t>
  </si>
  <si>
    <t>NC1</t>
  </si>
  <si>
    <t xml:space="preserve">Rhode Peaking 1 Generator Unit                                </t>
  </si>
  <si>
    <t>GU_400770</t>
  </si>
  <si>
    <t>RP1</t>
  </si>
  <si>
    <t>839.54</t>
  </si>
  <si>
    <t xml:space="preserve">Rhode Peaking 2 Generator Unit                                </t>
  </si>
  <si>
    <t>GU_400771</t>
  </si>
  <si>
    <t>RP2</t>
  </si>
  <si>
    <t xml:space="preserve">Dromada Windfarm Generator Unit                               </t>
  </si>
  <si>
    <t>GU_400920</t>
  </si>
  <si>
    <t>DR1</t>
  </si>
  <si>
    <t xml:space="preserve">Cornavarrow Wind Farm                                         </t>
  </si>
  <si>
    <t>GU_501750</t>
  </si>
  <si>
    <t>CNV</t>
  </si>
  <si>
    <t xml:space="preserve">Castlecraig Wind Farm                                         </t>
  </si>
  <si>
    <t>GU_501730</t>
  </si>
  <si>
    <t>CCG</t>
  </si>
  <si>
    <t xml:space="preserve">Indaver - Meath Waste - Generator                             </t>
  </si>
  <si>
    <t>GU_401230</t>
  </si>
  <si>
    <t>IW1</t>
  </si>
  <si>
    <t xml:space="preserve">Grove Hill Windfarm                                           </t>
  </si>
  <si>
    <t>GU_401890</t>
  </si>
  <si>
    <t>GR1</t>
  </si>
  <si>
    <t>Hortland Solar Farm</t>
  </si>
  <si>
    <t>GU_405100</t>
  </si>
  <si>
    <t>HT1</t>
  </si>
  <si>
    <t xml:space="preserve">Crockagarran Wind Farm                                        </t>
  </si>
  <si>
    <t>GU_501050</t>
  </si>
  <si>
    <t>CRO</t>
  </si>
  <si>
    <t xml:space="preserve">Ballybane Generator Unit                                      </t>
  </si>
  <si>
    <t>GU_406600</t>
  </si>
  <si>
    <t>BA1</t>
  </si>
  <si>
    <t xml:space="preserve">Ballybane Wind Farm Phase 2                                   </t>
  </si>
  <si>
    <t>GU_401790</t>
  </si>
  <si>
    <t>BA2</t>
  </si>
  <si>
    <t xml:space="preserve">Ballybane Wind Farm Phase 3                                   </t>
  </si>
  <si>
    <t>GU_402010</t>
  </si>
  <si>
    <t>BA3</t>
  </si>
  <si>
    <t xml:space="preserve">Kilaveenoge 1 WF                                              </t>
  </si>
  <si>
    <t>GU_401950</t>
  </si>
  <si>
    <t>KV1</t>
  </si>
  <si>
    <t xml:space="preserve">Callagheen Wind Farm                                          </t>
  </si>
  <si>
    <t>GU_500020</t>
  </si>
  <si>
    <t>CAL</t>
  </si>
  <si>
    <t xml:space="preserve">Ora More Wind Farm                                            </t>
  </si>
  <si>
    <t>GU_501520</t>
  </si>
  <si>
    <t>ORA</t>
  </si>
  <si>
    <t>Huntstown TEG</t>
  </si>
  <si>
    <t>GU_405860</t>
  </si>
  <si>
    <t>DG1</t>
  </si>
  <si>
    <t>286.05</t>
  </si>
  <si>
    <t xml:space="preserve">Gallanstown Solar		</t>
  </si>
  <si>
    <t>GU_405840</t>
  </si>
  <si>
    <t>IA1</t>
  </si>
  <si>
    <t>Harlockstown Solar Farm</t>
  </si>
  <si>
    <t>GU_407340</t>
  </si>
  <si>
    <t>IA2</t>
  </si>
  <si>
    <t>Gillinstown Solar Farm</t>
  </si>
  <si>
    <t>GU_405190</t>
  </si>
  <si>
    <t>NB1</t>
  </si>
  <si>
    <t xml:space="preserve">Coomacheo Generator Unit                                      </t>
  </si>
  <si>
    <t>GU_400591</t>
  </si>
  <si>
    <t>CZ1</t>
  </si>
  <si>
    <t>Craiggore Windfarm</t>
  </si>
  <si>
    <t>GU_504030</t>
  </si>
  <si>
    <t>CGR</t>
  </si>
  <si>
    <t>Evishagaran Windfarm</t>
  </si>
  <si>
    <t>GU_504040</t>
  </si>
  <si>
    <t>EVG</t>
  </si>
  <si>
    <t xml:space="preserve">Derrysallagh Windfarm                                         </t>
  </si>
  <si>
    <t>GU_405830</t>
  </si>
  <si>
    <t>DS1</t>
  </si>
  <si>
    <t xml:space="preserve">Garvagh Glebe Generator Unit                                  </t>
  </si>
  <si>
    <t>GU_400950</t>
  </si>
  <si>
    <t>GH1</t>
  </si>
  <si>
    <t xml:space="preserve">Tullynahaw Generator Unit                                     </t>
  </si>
  <si>
    <t>GU_400940</t>
  </si>
  <si>
    <t>GH2</t>
  </si>
  <si>
    <t xml:space="preserve">Whitegate Generator Unit                                      </t>
  </si>
  <si>
    <t>GU_400930</t>
  </si>
  <si>
    <t>WG1</t>
  </si>
  <si>
    <t>85526</t>
  </si>
  <si>
    <t xml:space="preserve">Midas Generator Unit                                          </t>
  </si>
  <si>
    <t>GU_400060</t>
  </si>
  <si>
    <t>GLC</t>
  </si>
  <si>
    <t xml:space="preserve">Mauricetown Windfarm                                          </t>
  </si>
  <si>
    <t>GU_403980</t>
  </si>
  <si>
    <t>MR1</t>
  </si>
  <si>
    <t xml:space="preserve">Taurbeg Wind Farm                                             </t>
  </si>
  <si>
    <t>GU_404990</t>
  </si>
  <si>
    <t>TR1</t>
  </si>
  <si>
    <t xml:space="preserve">Bunnyconnellan Windfarm                                       </t>
  </si>
  <si>
    <t>GU_403880</t>
  </si>
  <si>
    <t>GJ1</t>
  </si>
  <si>
    <t xml:space="preserve">Black Lough WFPS                                              </t>
  </si>
  <si>
    <t>GU_403990</t>
  </si>
  <si>
    <t>XL1</t>
  </si>
  <si>
    <t xml:space="preserve">Carrowleagh Windfarm                                          </t>
  </si>
  <si>
    <t>GU_401280</t>
  </si>
  <si>
    <t>XR1</t>
  </si>
  <si>
    <t xml:space="preserve">Barnesmore (Golagh) Windfarm                                  </t>
  </si>
  <si>
    <t>GU_405880</t>
  </si>
  <si>
    <t>GO1</t>
  </si>
  <si>
    <t xml:space="preserve">Slieve Divena Wind Farm                                       </t>
  </si>
  <si>
    <t>GU_500740</t>
  </si>
  <si>
    <t>SD1</t>
  </si>
  <si>
    <t xml:space="preserve">Slieve Divena 2 Wind Farm                                     </t>
  </si>
  <si>
    <t>GU_501550</t>
  </si>
  <si>
    <t>SD2</t>
  </si>
  <si>
    <t xml:space="preserve">Altamuskin Wind Farm                                          </t>
  </si>
  <si>
    <t>GU_503790</t>
  </si>
  <si>
    <t>AKN</t>
  </si>
  <si>
    <t xml:space="preserve">Shantavny Scotch Wind Farm                                    </t>
  </si>
  <si>
    <t>GU_501700</t>
  </si>
  <si>
    <t>STS</t>
  </si>
  <si>
    <t xml:space="preserve">Teiges Wind Farm                                              </t>
  </si>
  <si>
    <t>GU_501740</t>
  </si>
  <si>
    <t>TGS</t>
  </si>
  <si>
    <t>Murley Mountain Windfarm</t>
  </si>
  <si>
    <t>GU_504260</t>
  </si>
  <si>
    <t>MUR</t>
  </si>
  <si>
    <t xml:space="preserve">Great Island CCGT                                             </t>
  </si>
  <si>
    <t>GU_400762</t>
  </si>
  <si>
    <t>GI4</t>
  </si>
  <si>
    <t>S_NBMIN_ROImin,S_MWMAX_STH_MW</t>
  </si>
  <si>
    <t>34093.88</t>
  </si>
  <si>
    <t xml:space="preserve">VPL Generation Unit                                           </t>
  </si>
  <si>
    <t>GU_400540</t>
  </si>
  <si>
    <t>HN2</t>
  </si>
  <si>
    <t>S_NBMIN_ROImin,S_NBMIN_DubNB2,S_NBMIN_Dub_NB,S_NBMIN_DUB_L2</t>
  </si>
  <si>
    <t>72518.03</t>
  </si>
  <si>
    <t xml:space="preserve">HPC1 Generation Unit                                          </t>
  </si>
  <si>
    <t>GU_400480</t>
  </si>
  <si>
    <t>HNC</t>
  </si>
  <si>
    <t>S_NBMIN_ROImin,S_NBMIN_DubNB2,S_NBMIN_Dub_NB,S_NBMIN_DUB_L1),S_NBMIN_DUB_L2</t>
  </si>
  <si>
    <t>96024.48</t>
  </si>
  <si>
    <t xml:space="preserve">Monaincha Wind Farm                                           </t>
  </si>
  <si>
    <t>GU_401540</t>
  </si>
  <si>
    <t>MH1</t>
  </si>
  <si>
    <t xml:space="preserve">Grange Power IL1 Generator		</t>
  </si>
  <si>
    <t>GU_407560</t>
  </si>
  <si>
    <t>IL1</t>
  </si>
  <si>
    <t>135.56</t>
  </si>
  <si>
    <t xml:space="preserve">Grange Power IL2 Generator		</t>
  </si>
  <si>
    <t>GU_403450</t>
  </si>
  <si>
    <t>IL2</t>
  </si>
  <si>
    <t xml:space="preserve">Grange Power IL3 Generator	</t>
  </si>
  <si>
    <t>GU_407570</t>
  </si>
  <si>
    <t>IL3</t>
  </si>
  <si>
    <t xml:space="preserve">Grange Power IL4 Generator	</t>
  </si>
  <si>
    <t>GU_407580</t>
  </si>
  <si>
    <t>IL4</t>
  </si>
  <si>
    <t xml:space="preserve">Grange Power IL5 Generator		</t>
  </si>
  <si>
    <t>GU_407590</t>
  </si>
  <si>
    <t>IL5</t>
  </si>
  <si>
    <t xml:space="preserve">Grange Power IL6 Generator		</t>
  </si>
  <si>
    <t>GU_407600</t>
  </si>
  <si>
    <t>IL6</t>
  </si>
  <si>
    <t xml:space="preserve">Inniscarra (Lee unit 1) Generator Unit                        </t>
  </si>
  <si>
    <t>GU_400280</t>
  </si>
  <si>
    <t>LE1</t>
  </si>
  <si>
    <t xml:space="preserve">Lee unit 2 Generator Unit                                     </t>
  </si>
  <si>
    <t>GU_400281</t>
  </si>
  <si>
    <t>LE2</t>
  </si>
  <si>
    <t xml:space="preserve">Dublin Bay  Generator Unit                                    </t>
  </si>
  <si>
    <t>GU_400500</t>
  </si>
  <si>
    <t>DB1</t>
  </si>
  <si>
    <t>69518.36</t>
  </si>
  <si>
    <t xml:space="preserve">Ringngsend_OCGT	</t>
  </si>
  <si>
    <t>GU_403610</t>
  </si>
  <si>
    <t>IS3</t>
  </si>
  <si>
    <t>5165.08</t>
  </si>
  <si>
    <t>Cloncreen Wind Farm</t>
  </si>
  <si>
    <t>GU_405140</t>
  </si>
  <si>
    <t>OE1</t>
  </si>
  <si>
    <t xml:space="preserve">Cloncreen Battery		</t>
  </si>
  <si>
    <t>GU_407320</t>
  </si>
  <si>
    <t>OE2</t>
  </si>
  <si>
    <t xml:space="preserve">Kill Hill Wind Farm Limited                                   </t>
  </si>
  <si>
    <t>GU_401780</t>
  </si>
  <si>
    <t>KH1</t>
  </si>
  <si>
    <t xml:space="preserve">Eglish Wind Farm	</t>
  </si>
  <si>
    <t>GU_501440</t>
  </si>
  <si>
    <t>EGL</t>
  </si>
  <si>
    <t>Carrickatane Windfarm</t>
  </si>
  <si>
    <t>GU_501190</t>
  </si>
  <si>
    <t>CKT</t>
  </si>
  <si>
    <t>Kelwin Power Plant</t>
  </si>
  <si>
    <t>GU_402300</t>
  </si>
  <si>
    <t>KZ1</t>
  </si>
  <si>
    <t xml:space="preserve">Kelwin 3 Diesel Unit                                          </t>
  </si>
  <si>
    <t>GU_403000</t>
  </si>
  <si>
    <t>KZ3</t>
  </si>
  <si>
    <t xml:space="preserve">Leanamore Windfarm                                            </t>
  </si>
  <si>
    <t>GU_402210</t>
  </si>
  <si>
    <t>LM1</t>
  </si>
  <si>
    <t>Kilroot - GT1</t>
  </si>
  <si>
    <t>GU_500824</t>
  </si>
  <si>
    <t>KGT1</t>
  </si>
  <si>
    <t>8976.52</t>
  </si>
  <si>
    <t xml:space="preserve">Kilroot - GT2		</t>
  </si>
  <si>
    <t>GU_500825</t>
  </si>
  <si>
    <t>KGT2</t>
  </si>
  <si>
    <t xml:space="preserve">Kilroot - GT3		</t>
  </si>
  <si>
    <t>GU_500820</t>
  </si>
  <si>
    <t>KGT3</t>
  </si>
  <si>
    <t>1258.93</t>
  </si>
  <si>
    <t xml:space="preserve">Kilroot - GT4		</t>
  </si>
  <si>
    <t>GU_500821</t>
  </si>
  <si>
    <t>KGT4</t>
  </si>
  <si>
    <t xml:space="preserve">Kilroot GT6			</t>
  </si>
  <si>
    <t>GU_504110</t>
  </si>
  <si>
    <t>KGT6</t>
  </si>
  <si>
    <t>S_NBMIN_MINNIU,S_NBMIN_MINNI3</t>
  </si>
  <si>
    <t>142148.49</t>
  </si>
  <si>
    <t xml:space="preserve">Kilroot GT7			</t>
  </si>
  <si>
    <t>GU_504120</t>
  </si>
  <si>
    <t>KGT7</t>
  </si>
  <si>
    <t xml:space="preserve">Knockacummer Wind Farm                                        </t>
  </si>
  <si>
    <t>GU_401770</t>
  </si>
  <si>
    <t>KC1</t>
  </si>
  <si>
    <t xml:space="preserve">Knockalough WFPS		</t>
  </si>
  <si>
    <t>GU_403380</t>
  </si>
  <si>
    <t>KU1</t>
  </si>
  <si>
    <t>Yellow River Windfarm</t>
  </si>
  <si>
    <t>GU_407510</t>
  </si>
  <si>
    <t>YW1</t>
  </si>
  <si>
    <t>Knock South Windfarm</t>
  </si>
  <si>
    <t>GU_401140</t>
  </si>
  <si>
    <t>INW1_1</t>
  </si>
  <si>
    <t>Ardderroo Windfarm</t>
  </si>
  <si>
    <t>GU_405210</t>
  </si>
  <si>
    <t>UF1</t>
  </si>
  <si>
    <t>Lanesboro</t>
  </si>
  <si>
    <t>GU_400240</t>
  </si>
  <si>
    <t>LR4</t>
  </si>
  <si>
    <t>Ballykeel Windfarm</t>
  </si>
  <si>
    <t>GU_504200</t>
  </si>
  <si>
    <t>BKL</t>
  </si>
  <si>
    <t>Lenalea Windfarm</t>
  </si>
  <si>
    <t>GU_405930</t>
  </si>
  <si>
    <t>LL1</t>
  </si>
  <si>
    <t xml:space="preserve">Cark Wind Farm                                                </t>
  </si>
  <si>
    <t>GU_403900</t>
  </si>
  <si>
    <t>CAR</t>
  </si>
  <si>
    <t xml:space="preserve">Cuillagh Generator Unit                                       </t>
  </si>
  <si>
    <t>GU_400030</t>
  </si>
  <si>
    <t>CUH</t>
  </si>
  <si>
    <t xml:space="preserve">Beam Hill Wind Farm                                           </t>
  </si>
  <si>
    <t>GU_404560</t>
  </si>
  <si>
    <t>BM1</t>
  </si>
  <si>
    <t xml:space="preserve">Sorne Hill Generator Unit                                     </t>
  </si>
  <si>
    <t>GU_400550</t>
  </si>
  <si>
    <t>SN1</t>
  </si>
  <si>
    <t xml:space="preserve">Altahullion (1) Wind Farm                                     </t>
  </si>
  <si>
    <t>GU_504060</t>
  </si>
  <si>
    <t>ALT</t>
  </si>
  <si>
    <t xml:space="preserve">Altahullion (2) Wind Farm                                     </t>
  </si>
  <si>
    <t>GU_504160</t>
  </si>
  <si>
    <t>AL2</t>
  </si>
  <si>
    <t xml:space="preserve">Contour Global APTG		</t>
  </si>
  <si>
    <t>GU_500900</t>
  </si>
  <si>
    <t>NICG2</t>
  </si>
  <si>
    <t xml:space="preserve">Lough Road PV Solar Farm                                      </t>
  </si>
  <si>
    <t>GU_504090</t>
  </si>
  <si>
    <t>LRP</t>
  </si>
  <si>
    <t xml:space="preserve">Ballinderry Road PV Solar Farm		</t>
  </si>
  <si>
    <t>GU_501660</t>
  </si>
  <si>
    <t>BDP</t>
  </si>
  <si>
    <t xml:space="preserve">Maghaberry Road PV Solar Farm                                 </t>
  </si>
  <si>
    <t>GU_503400</t>
  </si>
  <si>
    <t>MRP</t>
  </si>
  <si>
    <t xml:space="preserve">Bruckana Wind Farm Limited                                    </t>
  </si>
  <si>
    <t>GU_401700</t>
  </si>
  <si>
    <t>BU1</t>
  </si>
  <si>
    <t xml:space="preserve">Lisheen Windfarm Phase 1                                      </t>
  </si>
  <si>
    <t>GU_400840</t>
  </si>
  <si>
    <t>LS1</t>
  </si>
  <si>
    <t xml:space="preserve">Lisheen Wind Farm 2 Ltd                                       </t>
  </si>
  <si>
    <t>GU_401750</t>
  </si>
  <si>
    <t>LS2</t>
  </si>
  <si>
    <t xml:space="preserve">Lisheen III Wind Farm		</t>
  </si>
  <si>
    <t>GU_404420</t>
  </si>
  <si>
    <t>LS3</t>
  </si>
  <si>
    <t>Drumlins Windfarm</t>
  </si>
  <si>
    <t>GU_406610</t>
  </si>
  <si>
    <t>LA1</t>
  </si>
  <si>
    <t xml:space="preserve">Ballycadden Wind Farm                                         </t>
  </si>
  <si>
    <t>GU_401290</t>
  </si>
  <si>
    <t>BY1</t>
  </si>
  <si>
    <t xml:space="preserve">Ballycadden Wind Farm Phase 2                                 </t>
  </si>
  <si>
    <t>GU_401360</t>
  </si>
  <si>
    <t>BY2</t>
  </si>
  <si>
    <t xml:space="preserve">Castledockrell Windfarm (Gen Unit)                            </t>
  </si>
  <si>
    <t>GU_403390</t>
  </si>
  <si>
    <t>CK1</t>
  </si>
  <si>
    <t xml:space="preserve">Gibbet Hill Windfarm                                          </t>
  </si>
  <si>
    <t>GU_401340</t>
  </si>
  <si>
    <t>GT1</t>
  </si>
  <si>
    <t xml:space="preserve">Cloonty Wind Farm                                             </t>
  </si>
  <si>
    <t>GU_501390</t>
  </si>
  <si>
    <t>CNY</t>
  </si>
  <si>
    <t xml:space="preserve">Curryfree Wind Farm                                           </t>
  </si>
  <si>
    <t>GU_501150</t>
  </si>
  <si>
    <t>CUR</t>
  </si>
  <si>
    <t>Lysaghtstown Solar Farm</t>
  </si>
  <si>
    <t>GU_406580</t>
  </si>
  <si>
    <t>LO1</t>
  </si>
  <si>
    <t xml:space="preserve">Bawnmore Windfarm                                             </t>
  </si>
  <si>
    <t>GU_401150</t>
  </si>
  <si>
    <t>BN1</t>
  </si>
  <si>
    <t>Knockglass Solar Farm</t>
  </si>
  <si>
    <t>GU_405080</t>
  </si>
  <si>
    <t>JG1</t>
  </si>
  <si>
    <t xml:space="preserve">Crighshane Wind Farm                                          </t>
  </si>
  <si>
    <t>GU_503830</t>
  </si>
  <si>
    <t>CRI</t>
  </si>
  <si>
    <t xml:space="preserve">Church Hill Wind Farm                                         </t>
  </si>
  <si>
    <t>GU_503840</t>
  </si>
  <si>
    <t>CHU</t>
  </si>
  <si>
    <t xml:space="preserve">Thornog Wind Farm                                             </t>
  </si>
  <si>
    <t>GU_503820</t>
  </si>
  <si>
    <t>TNG</t>
  </si>
  <si>
    <t xml:space="preserve">Seegronan Wind Farm                                           </t>
  </si>
  <si>
    <t>GU_503780</t>
  </si>
  <si>
    <t>SRN</t>
  </si>
  <si>
    <t xml:space="preserve">Tievenameenta Wind Farm                                       </t>
  </si>
  <si>
    <t>GU_501500</t>
  </si>
  <si>
    <t>TMA</t>
  </si>
  <si>
    <t>Gartnaneane Generator Unit</t>
  </si>
  <si>
    <t>GU_400041</t>
  </si>
  <si>
    <t>GA2</t>
  </si>
  <si>
    <t xml:space="preserve">Raragh 2 Windfarm                                             </t>
  </si>
  <si>
    <t>GU_403970</t>
  </si>
  <si>
    <t>RR2</t>
  </si>
  <si>
    <t>Taghart Windfarm</t>
  </si>
  <si>
    <t>GU_405110</t>
  </si>
  <si>
    <t>VB1</t>
  </si>
  <si>
    <t xml:space="preserve">Meentycat Generator Unit                                      </t>
  </si>
  <si>
    <t>GU_400070</t>
  </si>
  <si>
    <t>MCT</t>
  </si>
  <si>
    <t xml:space="preserve">Moneypoint 1 Generator Unit                                   </t>
  </si>
  <si>
    <t>GU_400270</t>
  </si>
  <si>
    <t>MP1</t>
  </si>
  <si>
    <t>S_NBMIN_ROImin,S_NBMIN_MP_NB</t>
  </si>
  <si>
    <t>coal</t>
  </si>
  <si>
    <t>162544.66</t>
  </si>
  <si>
    <t xml:space="preserve">Moneypoint 2 Generator Unit                                   </t>
  </si>
  <si>
    <t>GU_400271</t>
  </si>
  <si>
    <t>MP2</t>
  </si>
  <si>
    <t>S_NBMIN_ROImin,S_NBMIN_MP_NB,MP5_NB</t>
  </si>
  <si>
    <t xml:space="preserve">Moneypoint Windfarm                                           </t>
  </si>
  <si>
    <t>GU_402080</t>
  </si>
  <si>
    <t>MP9</t>
  </si>
  <si>
    <t xml:space="preserve">Moneypoint 3 Generator Unit                                   </t>
  </si>
  <si>
    <t>GU_400272</t>
  </si>
  <si>
    <t>MP3</t>
  </si>
  <si>
    <t xml:space="preserve">Mount Lucas Wind Farm Limited                                 </t>
  </si>
  <si>
    <t>GU_401690</t>
  </si>
  <si>
    <t>MO1</t>
  </si>
  <si>
    <t xml:space="preserve">Mulreavy Windfarm                                             </t>
  </si>
  <si>
    <t>GU_401930</t>
  </si>
  <si>
    <t>MB1</t>
  </si>
  <si>
    <t xml:space="preserve">Meenadreen South 2 Windfarm                                   </t>
  </si>
  <si>
    <t>GU_401920</t>
  </si>
  <si>
    <t>MB2</t>
  </si>
  <si>
    <t>Dunmurry Springs Solar Farm</t>
  </si>
  <si>
    <t>GU_407690</t>
  </si>
  <si>
    <t>DZ1</t>
  </si>
  <si>
    <t xml:space="preserve">North Wall5 Generator Unit	</t>
  </si>
  <si>
    <t>GU_405850</t>
  </si>
  <si>
    <t>NW8</t>
  </si>
  <si>
    <t>91.4</t>
  </si>
  <si>
    <t xml:space="preserve">Tarbert 5 TEG			</t>
  </si>
  <si>
    <t>GU_406490</t>
  </si>
  <si>
    <t>TB5</t>
  </si>
  <si>
    <t>520.73</t>
  </si>
  <si>
    <t xml:space="preserve">Lendrums Bridge (1) Wind Farm                                 </t>
  </si>
  <si>
    <t>GU_504050</t>
  </si>
  <si>
    <t>LEN</t>
  </si>
  <si>
    <t xml:space="preserve">Lendrums Bridge (2) Wind Farm	</t>
  </si>
  <si>
    <t>GU_504070</t>
  </si>
  <si>
    <t>LEN1</t>
  </si>
  <si>
    <t xml:space="preserve">Hunter's Hill Wind Farm                                       </t>
  </si>
  <si>
    <t>GU_501040</t>
  </si>
  <si>
    <t>HUN</t>
  </si>
  <si>
    <t xml:space="preserve">Tappaghan Wind Farm                                           </t>
  </si>
  <si>
    <t>GU_500010</t>
  </si>
  <si>
    <t>TAP</t>
  </si>
  <si>
    <t xml:space="preserve">Screggagh Wind Farm                                           </t>
  </si>
  <si>
    <t>GU_503850</t>
  </si>
  <si>
    <t>SCR</t>
  </si>
  <si>
    <t xml:space="preserve">Liffey 1 Generator Unit                                       </t>
  </si>
  <si>
    <t>GU_400250</t>
  </si>
  <si>
    <t>LI1</t>
  </si>
  <si>
    <t xml:space="preserve">Liffey 2 Generator Unit                                       </t>
  </si>
  <si>
    <t>GU_400251</t>
  </si>
  <si>
    <t>LI2</t>
  </si>
  <si>
    <t xml:space="preserve">Liffey 3 Hydro Unit                                           </t>
  </si>
  <si>
    <t>GU_401220</t>
  </si>
  <si>
    <t>LI3</t>
  </si>
  <si>
    <t xml:space="preserve">Liffey 4 Generator Unit                                       </t>
  </si>
  <si>
    <t>GU_400252</t>
  </si>
  <si>
    <t>LI4</t>
  </si>
  <si>
    <t xml:space="preserve">Liffey 5 Generator Unit                                       </t>
  </si>
  <si>
    <t>GU_400260</t>
  </si>
  <si>
    <t>LI5</t>
  </si>
  <si>
    <t xml:space="preserve">Poolbeg_OCGT			</t>
  </si>
  <si>
    <t>GU_403620</t>
  </si>
  <si>
    <t>PB7</t>
  </si>
  <si>
    <t xml:space="preserve">Dublin Waste to Energy                                        </t>
  </si>
  <si>
    <t>GU_402030</t>
  </si>
  <si>
    <t>DW1</t>
  </si>
  <si>
    <t>19685.78</t>
  </si>
  <si>
    <t xml:space="preserve">Long Mountain Wind Farm                                       </t>
  </si>
  <si>
    <t>GU_503810</t>
  </si>
  <si>
    <t>LMT</t>
  </si>
  <si>
    <t xml:space="preserve">Altaveedan Wind Farm                                          </t>
  </si>
  <si>
    <t>GU_501620</t>
  </si>
  <si>
    <t>AVN</t>
  </si>
  <si>
    <t xml:space="preserve">Rasharkin PV (Bann Road PV) Solar Farm                        </t>
  </si>
  <si>
    <t>GU_501630</t>
  </si>
  <si>
    <t>BNP</t>
  </si>
  <si>
    <t xml:space="preserve">Grouselodge Windfarm (Gen Unit)                               </t>
  </si>
  <si>
    <t>GU_401090</t>
  </si>
  <si>
    <t>GW1</t>
  </si>
  <si>
    <t xml:space="preserve">Rathcahill West Windfarm                                      </t>
  </si>
  <si>
    <t>GU_401080</t>
  </si>
  <si>
    <t>RC1</t>
  </si>
  <si>
    <t xml:space="preserve">Rathnaskilloge Solar Farm	</t>
  </si>
  <si>
    <t>GU_407040</t>
  </si>
  <si>
    <t>RT1</t>
  </si>
  <si>
    <t xml:space="preserve">Bindoo Generator Unit                                         </t>
  </si>
  <si>
    <t>GU_400050</t>
  </si>
  <si>
    <t>BD1</t>
  </si>
  <si>
    <t xml:space="preserve">Mountain Lodge Wind Farm                                      </t>
  </si>
  <si>
    <t>GU_400620</t>
  </si>
  <si>
    <t>ML1</t>
  </si>
  <si>
    <t xml:space="preserve">Knocknagoum Windfarm Limited                                  </t>
  </si>
  <si>
    <t>GU_401350</t>
  </si>
  <si>
    <t>KM1</t>
  </si>
  <si>
    <t xml:space="preserve">Muingnaminnane Generator Unit                                 </t>
  </si>
  <si>
    <t>GU_400960</t>
  </si>
  <si>
    <t>MU1</t>
  </si>
  <si>
    <t xml:space="preserve">Rosspile Solar			</t>
  </si>
  <si>
    <t>GU_405150</t>
  </si>
  <si>
    <t>RO1</t>
  </si>
  <si>
    <t xml:space="preserve">Leitir Guingaid Wind Farm phase 1                             </t>
  </si>
  <si>
    <t>GU_401500</t>
  </si>
  <si>
    <t>LG1</t>
  </si>
  <si>
    <t>Carrickallen Windfarm</t>
  </si>
  <si>
    <t>GU_402220</t>
  </si>
  <si>
    <t>AL1</t>
  </si>
  <si>
    <t xml:space="preserve">Shannonbridge Generator Unit                                  </t>
  </si>
  <si>
    <t>GU_400370</t>
  </si>
  <si>
    <t>WO4</t>
  </si>
  <si>
    <t>Shannonbridge 1 TEG</t>
  </si>
  <si>
    <t>GU_406510</t>
  </si>
  <si>
    <t>SQ1</t>
  </si>
  <si>
    <t>1683.49</t>
  </si>
  <si>
    <t xml:space="preserve">Shellybanks PBA                                               </t>
  </si>
  <si>
    <t>GU_400324</t>
  </si>
  <si>
    <t>PBA</t>
  </si>
  <si>
    <t>S_NBMIN_ROImin,S_REP_ROI,S_NBMIN_Dub_NB,S_NBMIN_DUB_L1),S_NBMIN_DUB_L2</t>
  </si>
  <si>
    <t>43598.24</t>
  </si>
  <si>
    <t xml:space="preserve">Shellybanks PBB                                               </t>
  </si>
  <si>
    <t>GU_400325</t>
  </si>
  <si>
    <t>PBB</t>
  </si>
  <si>
    <t xml:space="preserve">Slieve Kirk Wind Farm                                         </t>
  </si>
  <si>
    <t>GU_501160</t>
  </si>
  <si>
    <t>SK1</t>
  </si>
  <si>
    <t xml:space="preserve">Derrinlough Windfarm		</t>
  </si>
  <si>
    <t>GU_406620</t>
  </si>
  <si>
    <t>DN1</t>
  </si>
  <si>
    <t>Carnmeen Generator</t>
  </si>
  <si>
    <t>GU_504340</t>
  </si>
  <si>
    <t>CMN</t>
  </si>
  <si>
    <t>23496.28</t>
  </si>
  <si>
    <t xml:space="preserve">Killala Windfarm                                              </t>
  </si>
  <si>
    <t>GU_403750</t>
  </si>
  <si>
    <t>KF1</t>
  </si>
  <si>
    <t xml:space="preserve">Tawnaghmore Peaking 1 Generator Unit                          </t>
  </si>
  <si>
    <t>GU_400780</t>
  </si>
  <si>
    <t>TP1</t>
  </si>
  <si>
    <t>879.73</t>
  </si>
  <si>
    <t xml:space="preserve">Tawnaghmore Peaking 3 Generator Unit                          </t>
  </si>
  <si>
    <t>GU_400781</t>
  </si>
  <si>
    <t>TP3</t>
  </si>
  <si>
    <t xml:space="preserve">Cnoc Windfarms                                                </t>
  </si>
  <si>
    <t>GU_401670</t>
  </si>
  <si>
    <t>AC1</t>
  </si>
  <si>
    <t xml:space="preserve">Ballybay Wind Farm                                            </t>
  </si>
  <si>
    <t>GU_404580</t>
  </si>
  <si>
    <t>BS1</t>
  </si>
  <si>
    <t xml:space="preserve">Cronalaght 2			</t>
  </si>
  <si>
    <t>GU_403840</t>
  </si>
  <si>
    <t>YC2</t>
  </si>
  <si>
    <t>Timahoe North Solar Farm</t>
  </si>
  <si>
    <t>GU_406590</t>
  </si>
  <si>
    <t>TE1</t>
  </si>
  <si>
    <t>Ballincollig Hill Generator Unit</t>
  </si>
  <si>
    <t>GU_401000</t>
  </si>
  <si>
    <t>BCW</t>
  </si>
  <si>
    <t xml:space="preserve">Tursillagh Windfarm                                           </t>
  </si>
  <si>
    <t>GU_403830</t>
  </si>
  <si>
    <t>TUR</t>
  </si>
  <si>
    <t>Gortfinbar Wind Farm</t>
  </si>
  <si>
    <t>GU_503800</t>
  </si>
  <si>
    <t>GFB</t>
  </si>
  <si>
    <t xml:space="preserve">Cregganconroe Wind Farm	</t>
  </si>
  <si>
    <t>GU_503940</t>
  </si>
  <si>
    <t>CNR</t>
  </si>
  <si>
    <t xml:space="preserve">Inishative Wind Farm                                          </t>
  </si>
  <si>
    <t>GU_503930</t>
  </si>
  <si>
    <t>INT</t>
  </si>
  <si>
    <t xml:space="preserve">Crockandun Wind Farm                                          </t>
  </si>
  <si>
    <t>GU_501710</t>
  </si>
  <si>
    <t>CDN</t>
  </si>
  <si>
    <t xml:space="preserve">Crockdun Wind Farm                                            </t>
  </si>
  <si>
    <t>GU_501430</t>
  </si>
  <si>
    <t>CKD</t>
  </si>
  <si>
    <t xml:space="preserve">Knockawarriga 2 Windfarm                                      </t>
  </si>
  <si>
    <t>GU_404290</t>
  </si>
  <si>
    <t>KW2</t>
  </si>
  <si>
    <t>Tullabeg Solar Farm</t>
  </si>
  <si>
    <t>GU_406470</t>
  </si>
  <si>
    <t>TL1</t>
  </si>
  <si>
    <t xml:space="preserve">Moanmore Windfarm Generator Unit                              </t>
  </si>
  <si>
    <t>GU_400970</t>
  </si>
  <si>
    <t>MMR</t>
  </si>
  <si>
    <t xml:space="preserve">Tullabrack Windfarm </t>
  </si>
  <si>
    <t>GU_402050</t>
  </si>
  <si>
    <t>TK1</t>
  </si>
  <si>
    <t xml:space="preserve">Turlough Hill 1 Generator Unit                                </t>
  </si>
  <si>
    <t>GU_400360</t>
  </si>
  <si>
    <t>TH1</t>
  </si>
  <si>
    <t>pump_storage</t>
  </si>
  <si>
    <t xml:space="preserve">Turlough Hill 2 Generator Unit                                </t>
  </si>
  <si>
    <t>GU_400361</t>
  </si>
  <si>
    <t>TH2</t>
  </si>
  <si>
    <t xml:space="preserve">Turlough Hill 3 Generator Unit                                </t>
  </si>
  <si>
    <t>GU_400362</t>
  </si>
  <si>
    <t>TH3</t>
  </si>
  <si>
    <t xml:space="preserve">Turlough Hill 4 Generator Unit                                </t>
  </si>
  <si>
    <t>GU_400363</t>
  </si>
  <si>
    <t>TH4</t>
  </si>
  <si>
    <t xml:space="preserve">Tynagh Generator Unit                                         </t>
  </si>
  <si>
    <t>GU_400530</t>
  </si>
  <si>
    <t>TYC</t>
  </si>
  <si>
    <t>98038.7</t>
  </si>
  <si>
    <t xml:space="preserve">Seecon Windfarm                                               </t>
  </si>
  <si>
    <t>GU_401990</t>
  </si>
  <si>
    <t>SO1</t>
  </si>
  <si>
    <t xml:space="preserve">Uggool Wind Farm                                              </t>
  </si>
  <si>
    <t>GU_401960</t>
  </si>
  <si>
    <t>UG1</t>
  </si>
  <si>
    <t xml:space="preserve">Ballymartin Wind Farm Phase 1                                 </t>
  </si>
  <si>
    <t>GU_401710</t>
  </si>
  <si>
    <t>BX1</t>
  </si>
  <si>
    <t xml:space="preserve">Ballymartin Wind Farm Phase 2                                 </t>
  </si>
  <si>
    <t>GU_401760</t>
  </si>
  <si>
    <t>BX2</t>
  </si>
  <si>
    <t xml:space="preserve">Carnsore Point Generator Unit                                 </t>
  </si>
  <si>
    <t>GU_400470</t>
  </si>
  <si>
    <t>CNS</t>
  </si>
  <si>
    <t xml:space="preserve">Richfield Generator Unit                                      </t>
  </si>
  <si>
    <t>GU_400080</t>
  </si>
  <si>
    <t>RF1</t>
  </si>
  <si>
    <t xml:space="preserve">Woodhouse Wind Farm                                           </t>
  </si>
  <si>
    <t>GU_401680</t>
  </si>
  <si>
    <t>WS1</t>
  </si>
  <si>
    <t>Aungierstown_110kV</t>
  </si>
  <si>
    <t>Airport Road_33kV</t>
  </si>
  <si>
    <t>Brinny_110kV</t>
  </si>
  <si>
    <t>CFD_I_Z_110</t>
  </si>
  <si>
    <t>Clonfad_110kV</t>
  </si>
  <si>
    <t>Castlefarm_110kV</t>
  </si>
  <si>
    <t>Croagh West_110kV</t>
  </si>
  <si>
    <t>Clutterland_110kV</t>
  </si>
  <si>
    <t>CNB_I_Z_110</t>
  </si>
  <si>
    <t>Coolnabacky_110kV</t>
  </si>
  <si>
    <t>Coleraine_33kV</t>
  </si>
  <si>
    <t>Coolkeeragh Power Station_33kV</t>
  </si>
  <si>
    <t>CRD_I_Z_110</t>
  </si>
  <si>
    <t>Croaghonagh_110kV</t>
  </si>
  <si>
    <t>Cregagh_33kV</t>
  </si>
  <si>
    <t>Creagh_33kV</t>
  </si>
  <si>
    <t>Curragha_110kV</t>
  </si>
  <si>
    <t>Curragha_33kV</t>
  </si>
  <si>
    <t>Coomataggart_110kV</t>
  </si>
  <si>
    <t>Deenes_110kV</t>
  </si>
  <si>
    <t>Dunfirth_110kV_Tee</t>
  </si>
  <si>
    <t>Donegall_33kV</t>
  </si>
  <si>
    <t>Doon_110kV</t>
  </si>
  <si>
    <t>Dromada_110kV</t>
  </si>
  <si>
    <t>Drumnakelly_33kV</t>
  </si>
  <si>
    <t>Dungannon_33kV</t>
  </si>
  <si>
    <t>Derrybrien_110kV</t>
  </si>
  <si>
    <t>Eden_110kV</t>
  </si>
  <si>
    <t>Eden_33kV</t>
  </si>
  <si>
    <t>Enniskillen_33kV</t>
  </si>
  <si>
    <t>Finaghy_33kV</t>
  </si>
  <si>
    <t>Glanlee_110kV</t>
  </si>
  <si>
    <t>GGT_I_Z_110</t>
  </si>
  <si>
    <t>Garrintaggart_110kV</t>
  </si>
  <si>
    <t>Glengormley_33kV</t>
  </si>
  <si>
    <t>GLN_I_Z_110</t>
  </si>
  <si>
    <t>Glen_110kV</t>
  </si>
  <si>
    <t>Gorman_33kV</t>
  </si>
  <si>
    <t>Garvagh_110kV</t>
  </si>
  <si>
    <t>HWN_I_Z_110</t>
  </si>
  <si>
    <t>Harristown_110kV</t>
  </si>
  <si>
    <t>Kilcarbery_110kV</t>
  </si>
  <si>
    <t>Kill Hill_110kV</t>
  </si>
  <si>
    <t>Killymallaght_33kV</t>
  </si>
  <si>
    <t>Knock_110kV</t>
  </si>
  <si>
    <t>Knock_33kV</t>
  </si>
  <si>
    <t>Kilpaddoge_110kV</t>
  </si>
  <si>
    <t>Kishoge_110kV</t>
  </si>
  <si>
    <t>Kellystown_220kV</t>
  </si>
  <si>
    <t>Larne_110kV</t>
  </si>
  <si>
    <t>Larne_33kV</t>
  </si>
  <si>
    <t>LCK_I_Z_110</t>
  </si>
  <si>
    <t>Lickny_110kV</t>
  </si>
  <si>
    <t>Lysaghtstown_110kV</t>
  </si>
  <si>
    <t>Limavady_110kV</t>
  </si>
  <si>
    <t>Limavady_33kV</t>
  </si>
  <si>
    <t>Lisburn_33kV</t>
  </si>
  <si>
    <t>Lisaghmore_110kV</t>
  </si>
  <si>
    <t>Lisaghmore_33kV</t>
  </si>
  <si>
    <t>Lenalea_110kV</t>
  </si>
  <si>
    <t>Loguestown_110kV</t>
  </si>
  <si>
    <t>Loguestown_33kV</t>
  </si>
  <si>
    <t>Longpoint_220kV</t>
  </si>
  <si>
    <t>Lislea_110kV</t>
  </si>
  <si>
    <t>Lodgewood_110kV</t>
  </si>
  <si>
    <t>Meentycat_110kV</t>
  </si>
  <si>
    <t>MGT_I_Z_110</t>
  </si>
  <si>
    <t>Mulgeeth_110kV</t>
  </si>
  <si>
    <t>Magherakeel Cluster_33kV</t>
  </si>
  <si>
    <t>Metro North_110kV</t>
  </si>
  <si>
    <t>Mulreavy_110kV</t>
  </si>
  <si>
    <t>Metro Airport_110kV</t>
  </si>
  <si>
    <t>Newtownards_110kV</t>
  </si>
  <si>
    <t>Newtownards_33kV</t>
  </si>
  <si>
    <t>Nenagh_110kV</t>
  </si>
  <si>
    <t>Newry_33kV</t>
  </si>
  <si>
    <t>Oldbridge_110kV</t>
  </si>
  <si>
    <t>Oldcourt_110kV</t>
  </si>
  <si>
    <t>Omagh_33kV</t>
  </si>
  <si>
    <t>Pottery Road_110kV</t>
  </si>
  <si>
    <t>PPT_I_Z_110</t>
  </si>
  <si>
    <t>Philipstown_110kV</t>
  </si>
  <si>
    <t>Pelletstown_110kV</t>
  </si>
  <si>
    <t>Rathgael_110kV</t>
  </si>
  <si>
    <t>Rathgael_33kV</t>
  </si>
  <si>
    <t>Rosspile_110kV</t>
  </si>
  <si>
    <t>Rosebank_110kV</t>
  </si>
  <si>
    <t>Rosebank_33kV</t>
  </si>
  <si>
    <t>Rasharkin Cluster_33kV</t>
  </si>
  <si>
    <t>Rathnaskillo_110kV</t>
  </si>
  <si>
    <t>Shelton Abbey_110kV</t>
  </si>
  <si>
    <t>Sealrock_110kV</t>
  </si>
  <si>
    <t>Srahnakilly_110kV</t>
  </si>
  <si>
    <t>Slievecallan_110kV</t>
  </si>
  <si>
    <t>Springtown_110kV</t>
  </si>
  <si>
    <t>Springtown_33kV</t>
  </si>
  <si>
    <t>Srananagh_220kV</t>
  </si>
  <si>
    <t>Strabane_33kV</t>
  </si>
  <si>
    <t>Stevenstown_110kV</t>
  </si>
  <si>
    <t>Timahoe_110kV</t>
  </si>
  <si>
    <t>Tipperary_110kV</t>
  </si>
  <si>
    <t>Tamnamore_33kV</t>
  </si>
  <si>
    <t>Tonroe_110kV</t>
  </si>
  <si>
    <t>Tremoge Cluster_33kV</t>
  </si>
  <si>
    <t>Tullabeg_110kV</t>
  </si>
  <si>
    <t>Waringstown_33kV</t>
  </si>
  <si>
    <t>Wexford_110kV</t>
  </si>
  <si>
    <t>Woodland_260kV</t>
  </si>
  <si>
    <t>260</t>
  </si>
  <si>
    <t>AGN(I)(Z)&gt;CBT(I)(Z)_110L1</t>
  </si>
  <si>
    <t>AGN(I)(Z)&gt;CBT(I)(Z)_110L2</t>
  </si>
  <si>
    <t>ATY(I)(Z)&gt;CNB(I)(Z)_110L1</t>
  </si>
  <si>
    <t>BGT(I)(Z)&gt;CNB(I)(Z)_110L1</t>
  </si>
  <si>
    <t>BGT_I_Z_110</t>
  </si>
  <si>
    <t>BGT(I)(Z)&gt;GGT(I)(Z)_110L1</t>
  </si>
  <si>
    <t>BGT(I)(Z)&gt;KKY(I)(Z)_110L1</t>
  </si>
  <si>
    <t>BKY(I)(Z)&gt;KCY(I)(Z)_110</t>
  </si>
  <si>
    <t>BLC(I)(Z)&gt;MNH(I)(Z)_110L1</t>
  </si>
  <si>
    <t>CBT(I)(Z)&gt;KCY(I)(Z)_110L1</t>
  </si>
  <si>
    <t>CDU(I)(Z)&gt;GLN(I)(Z)_110L1</t>
  </si>
  <si>
    <t>CFD(I)(Z)&gt;MUL(I)(Z)_110L1</t>
  </si>
  <si>
    <t>CFD(I)(Z)&gt;KIN(I)(Z)_110L1</t>
  </si>
  <si>
    <t>CLU(I)(Z)&gt;CBT(I)(Z)_110L1</t>
  </si>
  <si>
    <t>CLU(I)(Z)&gt;KUD(I)(Z)_110L1</t>
  </si>
  <si>
    <t>CNB(I)(Z)&gt;GGT(I)(T)_110L1</t>
  </si>
  <si>
    <t>CNB(I)(Z)&gt;PLS(I)(T)_110L1</t>
  </si>
  <si>
    <t>CNB(I)(Z)&gt;MP(I)(T)_380L1</t>
  </si>
  <si>
    <t>CNB(I)(Z)&gt;DSN(I)(T)_380L1</t>
  </si>
  <si>
    <t>CPS(N)(Z)&gt;CRD(N)(Z)_110L1</t>
  </si>
  <si>
    <t>CUL(I)(Z)&gt;RTO(I)(Z)_110L1</t>
  </si>
  <si>
    <t>CUS(I)(Z)&gt;PPT(I)(Z)_110L1</t>
  </si>
  <si>
    <t>DFR(I)(T)&gt;DFR(I)(Z)_110L1</t>
  </si>
  <si>
    <t>DFR(I)(Z)&gt;MGT(I)(Z)_110L1</t>
  </si>
  <si>
    <t>DGN(I)(Z)&gt;RTO(I)(Z)_110L1</t>
  </si>
  <si>
    <t>DRY(I)(Z)&gt;OBE(I)(Z)_110L1</t>
  </si>
  <si>
    <t>HWN(I)(Z)&gt;MGT(I)(Z)_110L1</t>
  </si>
  <si>
    <t>HWN(I)(Z)&gt;KIN(I)(Z)_110L1</t>
  </si>
  <si>
    <t>HWN(I)(Z)&gt;DFR(I)(T)_110L1</t>
  </si>
  <si>
    <t>KIN(I)(Z)&gt;DFR(I)(T)_110L1</t>
  </si>
  <si>
    <t>KRA(I)(Z)&gt;LGT(I)(T)_110L1</t>
  </si>
  <si>
    <t>KYT(I)(Z)&gt;MAY(I)(Z)_220L1</t>
  </si>
  <si>
    <t>KYT(I)(Z)&gt;WOO(I)(Z)_220L1</t>
  </si>
  <si>
    <t>LNA(I)(Z)&gt;TIV(I)(Z)_110L1</t>
  </si>
  <si>
    <t>LCK(I)(Z)&gt;MUL(I)(Z)_110L1</t>
  </si>
  <si>
    <t>LET(I)(Z)&gt;LNA(I)(Z)_110L1</t>
  </si>
  <si>
    <t>MID(I)(Z)&gt;LGT(I)(Z)_110L1</t>
  </si>
  <si>
    <t>MNH(I)(Z)&gt;MTA(I)(Z)_110L1</t>
  </si>
  <si>
    <t>PLA(I)(Z)&gt;OBE(I)(Z)_220L1</t>
  </si>
  <si>
    <t>PPT(I)(Z)&gt;PLS(I)(Z)_110L1</t>
  </si>
  <si>
    <t>RNW(I)(Z)&gt;DFR(I)(T)_110L1</t>
  </si>
  <si>
    <t>CNB_T4101</t>
  </si>
  <si>
    <t>CNB_I_Z_380</t>
  </si>
  <si>
    <t>CNB_T4102</t>
  </si>
  <si>
    <t>AIR_1</t>
  </si>
  <si>
    <t>AIR_N_Z_110</t>
  </si>
  <si>
    <t>AIR_2</t>
  </si>
  <si>
    <t>BLC(I)(Z)&gt;SHL(I)(Z)_220L1</t>
  </si>
  <si>
    <t>Ballyragget_110kV</t>
  </si>
  <si>
    <t>Airport Road_110kV</t>
  </si>
  <si>
    <t>Coolnabacky_380kV</t>
  </si>
  <si>
    <t>AGN(I)(Z)&gt;KSE(I)(Z)_110L1</t>
  </si>
  <si>
    <t>ROI/1</t>
  </si>
  <si>
    <t>ROI-W/2,ROI-SW/3a,ROI-SW/3b,ROI-SW/3c,ROI/1,ROI/1</t>
  </si>
  <si>
    <t>ROI-NW/4,ROI-W/1,ROI-W/2,ROI/1</t>
  </si>
  <si>
    <t>ROI-W/1,ROI-W/2,ROI/1</t>
  </si>
  <si>
    <t>ROI-NW/4,ROI-W/1,ROI-W/2,ROI-W/6,ROI-W/7,ROI-W/8,ROI/1</t>
  </si>
  <si>
    <t>ROI-W/2,ROI/1</t>
  </si>
  <si>
    <t>NI/2,NI/3,NI/4</t>
  </si>
  <si>
    <t>NI/4</t>
  </si>
  <si>
    <t>ROI-W/2,ROI-W/2,ROI/1</t>
  </si>
  <si>
    <t>ROI-NW/1,ROI-NW/3,ROI-NW/4,ROI-W/2,ROI/1</t>
  </si>
  <si>
    <t>NI/1,NI/4,NI/5</t>
  </si>
  <si>
    <t>ROI-NW/4,ROI-W/1,ROI-W/2,ROI-W/6,ROI/1</t>
  </si>
  <si>
    <t>ROI-NW/3,ROI-NW/4,ROI-W/2,ROI/1</t>
  </si>
  <si>
    <t>ROI-W/1,ROI-W/2,ROI-W/4,ROI/1</t>
  </si>
  <si>
    <t>ROI-W/2,ROI-SW/3c,ROI/1</t>
  </si>
  <si>
    <t>ROI-W/2</t>
  </si>
  <si>
    <t>NI/1,NI/4</t>
  </si>
  <si>
    <t>ROI-NW/3,ROI-NW/4,ROI-W/1,ROI-W/2,ROI/1</t>
  </si>
  <si>
    <t>ROI-NW/3,ROI-NW/4,ROI-W/1,ROI-W/2,ROI-W/6,ROI-W/8,ROI/1</t>
  </si>
  <si>
    <t>NI/2,NI/3</t>
  </si>
  <si>
    <t>ROI-NE/2</t>
  </si>
  <si>
    <t>NI/1,NI/4,NI/5,ROI-NW/3,ROI-NW/4,ROI-W/1,ROI-W/2,ROI/1</t>
  </si>
  <si>
    <t>NI/2,ROI/1</t>
  </si>
  <si>
    <t>NI/2,NI/4</t>
  </si>
  <si>
    <t>NI/4,ROI-W/2,ROI-SW/3a,ROI-SW/3b,ROI-SW/3c,ROI/1</t>
  </si>
  <si>
    <t>ROI-W/1,ROI-W/2,ROI-W/3,ROI/1</t>
  </si>
  <si>
    <t>ROI-W/1,ROI-W/2,ROI-W/5,ROI/1</t>
  </si>
  <si>
    <t>ROI-NE/1</t>
  </si>
  <si>
    <t>ROI-NW/2,ROI-NW/3,ROI-NW/4,ROI-W/2,ROI/1</t>
  </si>
  <si>
    <t>ROI-W/1,ROI-W/2,ROI-SW/2,ROI/1</t>
  </si>
  <si>
    <t>ROI-NE/1,ROI/1</t>
  </si>
  <si>
    <t>ROI-NW/3,ROI-NW/4,ROI-W/1,ROI-W/2,ROI-W/6,ROI-W/7,ROI-W/8,ROI/1</t>
  </si>
  <si>
    <t>Pro-Rata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</si>
</sst>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rath.sharepoint.com/sites/EEE_STU_NayerPhD/Shared%20Documents/General/18.%20RES%20Research%20PSCC%202026%20Paper/ireland_transmission/PUB_DailyCommercialOfferData_202509161015_by_ResourceName.xlsx" TargetMode="External"/><Relationship Id="rId1" Type="http://schemas.openxmlformats.org/officeDocument/2006/relationships/externalLinkPath" Target="/sites/EEE_STU_NayerPhD/Shared%20Documents/General/18.%20RES%20Research%20PSCC%202026%20Paper/ireland_transmission/PUB_DailyCommercialOfferData_202509161015_by_ResourceN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CommercialOfferData"/>
    </sheetNames>
    <sheetDataSet>
      <sheetData sheetId="0">
        <row r="2">
          <cell r="A2" t="str">
            <v>DSU_401270</v>
          </cell>
          <cell r="C2" t="str">
            <v>0</v>
          </cell>
        </row>
        <row r="3">
          <cell r="A3" t="str">
            <v>DSU_401330</v>
          </cell>
          <cell r="C3" t="str">
            <v>1000</v>
          </cell>
        </row>
        <row r="4">
          <cell r="A4" t="str">
            <v>DSU_401400</v>
          </cell>
          <cell r="C4" t="str">
            <v>0</v>
          </cell>
        </row>
        <row r="5">
          <cell r="A5" t="str">
            <v>DSU_401490</v>
          </cell>
          <cell r="C5" t="str">
            <v>0</v>
          </cell>
        </row>
        <row r="6">
          <cell r="A6" t="str">
            <v>DSU_401530</v>
          </cell>
          <cell r="C6" t="str">
            <v>0</v>
          </cell>
        </row>
        <row r="7">
          <cell r="A7" t="str">
            <v>DSU_401590</v>
          </cell>
          <cell r="C7" t="str">
            <v>0</v>
          </cell>
        </row>
        <row r="8">
          <cell r="A8" t="str">
            <v>DSU_401610</v>
          </cell>
          <cell r="C8" t="str">
            <v>-160</v>
          </cell>
        </row>
        <row r="9">
          <cell r="A9" t="str">
            <v>DSU_401620</v>
          </cell>
          <cell r="C9" t="str">
            <v>0</v>
          </cell>
        </row>
        <row r="10">
          <cell r="A10" t="str">
            <v>DSU_401660</v>
          </cell>
          <cell r="C10" t="str">
            <v>412.44</v>
          </cell>
        </row>
        <row r="11">
          <cell r="A11" t="str">
            <v>DSU_401800</v>
          </cell>
          <cell r="C11" t="str">
            <v>0</v>
          </cell>
        </row>
        <row r="12">
          <cell r="A12" t="str">
            <v>DSU_401850</v>
          </cell>
          <cell r="C12" t="str">
            <v>0</v>
          </cell>
        </row>
        <row r="13">
          <cell r="A13" t="str">
            <v>DSU_401870</v>
          </cell>
          <cell r="C13" t="str">
            <v>-317.87</v>
          </cell>
        </row>
        <row r="14">
          <cell r="A14" t="str">
            <v>DSU_401880</v>
          </cell>
          <cell r="C14" t="str">
            <v>-260.89</v>
          </cell>
        </row>
        <row r="15">
          <cell r="A15" t="str">
            <v>DSU_401910</v>
          </cell>
          <cell r="C15" t="str">
            <v>-217</v>
          </cell>
        </row>
        <row r="16">
          <cell r="A16" t="str">
            <v>DSU_402040</v>
          </cell>
          <cell r="C16" t="str">
            <v>0</v>
          </cell>
        </row>
        <row r="17">
          <cell r="A17" t="str">
            <v>DSU_402090</v>
          </cell>
          <cell r="C17" t="str">
            <v>-316.73</v>
          </cell>
        </row>
        <row r="18">
          <cell r="A18" t="str">
            <v>DSU_402100</v>
          </cell>
          <cell r="C18" t="str">
            <v>-289.21</v>
          </cell>
        </row>
        <row r="19">
          <cell r="A19" t="str">
            <v>DSU_402120</v>
          </cell>
          <cell r="C19" t="str">
            <v>-231</v>
          </cell>
        </row>
        <row r="20">
          <cell r="A20" t="str">
            <v>DSU_402180</v>
          </cell>
          <cell r="C20" t="str">
            <v>0</v>
          </cell>
        </row>
        <row r="21">
          <cell r="A21" t="str">
            <v>DSU_403020</v>
          </cell>
          <cell r="C21" t="str">
            <v>0</v>
          </cell>
        </row>
        <row r="22">
          <cell r="A22" t="str">
            <v>DSU_403030</v>
          </cell>
          <cell r="C22" t="str">
            <v>0</v>
          </cell>
        </row>
        <row r="23">
          <cell r="A23" t="str">
            <v>DSU_403040</v>
          </cell>
          <cell r="C23" t="str">
            <v>0</v>
          </cell>
        </row>
        <row r="24">
          <cell r="A24" t="str">
            <v>DSU_403050</v>
          </cell>
          <cell r="C24" t="str">
            <v>0</v>
          </cell>
        </row>
        <row r="25">
          <cell r="A25" t="str">
            <v>DSU_403080</v>
          </cell>
          <cell r="C25" t="str">
            <v>0</v>
          </cell>
        </row>
        <row r="26">
          <cell r="A26" t="str">
            <v>DSU_403120</v>
          </cell>
          <cell r="C26" t="str">
            <v>0</v>
          </cell>
        </row>
        <row r="27">
          <cell r="A27" t="str">
            <v>DSU_403450</v>
          </cell>
          <cell r="C27" t="str">
            <v>0</v>
          </cell>
        </row>
        <row r="28">
          <cell r="A28" t="str">
            <v>DSU_403470</v>
          </cell>
          <cell r="C28" t="str">
            <v>0</v>
          </cell>
        </row>
        <row r="29">
          <cell r="A29" t="str">
            <v>DSU_403500</v>
          </cell>
          <cell r="C29" t="str">
            <v>412.44</v>
          </cell>
        </row>
        <row r="30">
          <cell r="A30" t="str">
            <v>DSU_403520</v>
          </cell>
          <cell r="C30" t="str">
            <v>0</v>
          </cell>
        </row>
        <row r="31">
          <cell r="A31" t="str">
            <v>DSU_403560</v>
          </cell>
          <cell r="C31" t="str">
            <v>0</v>
          </cell>
        </row>
        <row r="32">
          <cell r="A32" t="str">
            <v>DSU_403590</v>
          </cell>
          <cell r="C32" t="str">
            <v>0</v>
          </cell>
        </row>
        <row r="33">
          <cell r="A33" t="str">
            <v>DSU_403620</v>
          </cell>
          <cell r="C33" t="str">
            <v>0</v>
          </cell>
        </row>
        <row r="34">
          <cell r="A34" t="str">
            <v>DSU_403630</v>
          </cell>
          <cell r="C34" t="str">
            <v>0</v>
          </cell>
        </row>
        <row r="35">
          <cell r="A35" t="str">
            <v>DSU_403640</v>
          </cell>
          <cell r="C35" t="str">
            <v>0</v>
          </cell>
        </row>
        <row r="36">
          <cell r="A36" t="str">
            <v>DSU_403650</v>
          </cell>
          <cell r="C36" t="str">
            <v>464.74</v>
          </cell>
        </row>
        <row r="37">
          <cell r="A37" t="str">
            <v>DSU_403660</v>
          </cell>
          <cell r="C37" t="str">
            <v>0</v>
          </cell>
        </row>
        <row r="38">
          <cell r="A38" t="str">
            <v>DSU_403690</v>
          </cell>
          <cell r="C38" t="str">
            <v>0</v>
          </cell>
        </row>
        <row r="39">
          <cell r="A39" t="str">
            <v>DSU_403720</v>
          </cell>
          <cell r="C39" t="str">
            <v>0</v>
          </cell>
        </row>
        <row r="40">
          <cell r="A40" t="str">
            <v>DSU_403730</v>
          </cell>
          <cell r="C40" t="str">
            <v>0</v>
          </cell>
        </row>
        <row r="41">
          <cell r="A41" t="str">
            <v>DSU_403750</v>
          </cell>
          <cell r="C41" t="str">
            <v>0</v>
          </cell>
        </row>
        <row r="42">
          <cell r="A42" t="str">
            <v>DSU_403760</v>
          </cell>
          <cell r="C42" t="str">
            <v>0</v>
          </cell>
        </row>
        <row r="43">
          <cell r="A43" t="str">
            <v>DSU_403790</v>
          </cell>
          <cell r="C43" t="str">
            <v>5.16</v>
          </cell>
        </row>
        <row r="44">
          <cell r="A44" t="str">
            <v>DSU_403820</v>
          </cell>
          <cell r="C44" t="str">
            <v>412.44</v>
          </cell>
        </row>
        <row r="45">
          <cell r="A45" t="str">
            <v>DSU_501200</v>
          </cell>
          <cell r="C45" t="str">
            <v>169</v>
          </cell>
        </row>
        <row r="46">
          <cell r="A46" t="str">
            <v>DSU_501330</v>
          </cell>
          <cell r="C46" t="str">
            <v>412.44</v>
          </cell>
        </row>
        <row r="47">
          <cell r="A47" t="str">
            <v>DSU_501380</v>
          </cell>
          <cell r="C47" t="str">
            <v>0</v>
          </cell>
        </row>
        <row r="48">
          <cell r="A48" t="str">
            <v>DSU_501450</v>
          </cell>
          <cell r="C48" t="str">
            <v>0</v>
          </cell>
        </row>
        <row r="49">
          <cell r="A49" t="str">
            <v>DSU_501460</v>
          </cell>
          <cell r="C49" t="str">
            <v>0</v>
          </cell>
        </row>
        <row r="50">
          <cell r="A50" t="str">
            <v>DSU_501510</v>
          </cell>
          <cell r="C50" t="str">
            <v>0</v>
          </cell>
        </row>
        <row r="51">
          <cell r="A51" t="str">
            <v>DSU_501560</v>
          </cell>
          <cell r="C51" t="str">
            <v>412.44</v>
          </cell>
        </row>
        <row r="52">
          <cell r="A52" t="str">
            <v>DSU_501590</v>
          </cell>
          <cell r="C52" t="str">
            <v>0</v>
          </cell>
        </row>
        <row r="53">
          <cell r="A53" t="str">
            <v>DSU_501600</v>
          </cell>
          <cell r="C53" t="str">
            <v>0</v>
          </cell>
        </row>
        <row r="54">
          <cell r="A54" t="str">
            <v>DSU_501610</v>
          </cell>
          <cell r="C54" t="str">
            <v>0</v>
          </cell>
        </row>
        <row r="55">
          <cell r="A55" t="str">
            <v>DSU_503420</v>
          </cell>
          <cell r="C55" t="str">
            <v>288.59</v>
          </cell>
        </row>
        <row r="56">
          <cell r="A56" t="str">
            <v>DSU_503450</v>
          </cell>
          <cell r="C56" t="str">
            <v>329.02</v>
          </cell>
        </row>
        <row r="57">
          <cell r="A57" t="str">
            <v>DSU_503460</v>
          </cell>
          <cell r="C57" t="str">
            <v>0</v>
          </cell>
        </row>
        <row r="58">
          <cell r="A58" t="str">
            <v>DSU_503480</v>
          </cell>
          <cell r="C58" t="str">
            <v>288.59</v>
          </cell>
        </row>
        <row r="59">
          <cell r="A59" t="str">
            <v>DSU_503490</v>
          </cell>
          <cell r="C59" t="str">
            <v>0</v>
          </cell>
        </row>
        <row r="60">
          <cell r="A60" t="str">
            <v>DSU_503650</v>
          </cell>
          <cell r="C60" t="str">
            <v>0</v>
          </cell>
        </row>
        <row r="61">
          <cell r="A61" t="str">
            <v>GU_400120</v>
          </cell>
          <cell r="C61" t="str">
            <v>-1000</v>
          </cell>
        </row>
        <row r="62">
          <cell r="A62" t="str">
            <v>GU_400121</v>
          </cell>
          <cell r="C62" t="str">
            <v>-1000</v>
          </cell>
        </row>
        <row r="63">
          <cell r="A63" t="str">
            <v>GU_400181</v>
          </cell>
          <cell r="C63" t="str">
            <v>108.19</v>
          </cell>
        </row>
        <row r="64">
          <cell r="A64" t="str">
            <v>GU_400182</v>
          </cell>
          <cell r="C64" t="str">
            <v>108.18</v>
          </cell>
        </row>
        <row r="65">
          <cell r="A65" t="str">
            <v>GU_400183</v>
          </cell>
          <cell r="C65" t="str">
            <v>108.17</v>
          </cell>
        </row>
        <row r="66">
          <cell r="A66" t="str">
            <v>GU_400200</v>
          </cell>
          <cell r="C66" t="str">
            <v>0</v>
          </cell>
        </row>
        <row r="67">
          <cell r="A67" t="str">
            <v>GU_400201</v>
          </cell>
          <cell r="C67" t="str">
            <v>0</v>
          </cell>
        </row>
        <row r="68">
          <cell r="A68" t="str">
            <v>GU_400202</v>
          </cell>
          <cell r="C68" t="str">
            <v>0</v>
          </cell>
        </row>
        <row r="69">
          <cell r="A69" t="str">
            <v>GU_400203</v>
          </cell>
          <cell r="C69" t="str">
            <v>0</v>
          </cell>
        </row>
        <row r="70">
          <cell r="A70" t="str">
            <v>GU_400210</v>
          </cell>
          <cell r="C70" t="str">
            <v>0</v>
          </cell>
        </row>
        <row r="71">
          <cell r="A71" t="str">
            <v>GU_400211</v>
          </cell>
          <cell r="C71" t="str">
            <v>0</v>
          </cell>
        </row>
        <row r="72">
          <cell r="A72" t="str">
            <v>GU_400220</v>
          </cell>
          <cell r="C72" t="str">
            <v>0</v>
          </cell>
        </row>
        <row r="73">
          <cell r="A73" t="str">
            <v>GU_400221</v>
          </cell>
          <cell r="C73" t="str">
            <v>0</v>
          </cell>
        </row>
        <row r="74">
          <cell r="A74" t="str">
            <v>GU_400250</v>
          </cell>
          <cell r="C74" t="str">
            <v>0</v>
          </cell>
        </row>
        <row r="75">
          <cell r="A75" t="str">
            <v>GU_400251</v>
          </cell>
          <cell r="C75" t="str">
            <v>0</v>
          </cell>
        </row>
        <row r="76">
          <cell r="A76" t="str">
            <v>GU_400252</v>
          </cell>
          <cell r="C76" t="str">
            <v>0</v>
          </cell>
        </row>
        <row r="77">
          <cell r="A77" t="str">
            <v>GU_400260</v>
          </cell>
          <cell r="C77" t="str">
            <v>0</v>
          </cell>
        </row>
        <row r="78">
          <cell r="A78" t="str">
            <v>GU_400270</v>
          </cell>
          <cell r="C78" t="str">
            <v>143</v>
          </cell>
        </row>
        <row r="79">
          <cell r="A79" t="str">
            <v>GU_400271</v>
          </cell>
          <cell r="C79" t="str">
            <v>143</v>
          </cell>
        </row>
        <row r="80">
          <cell r="A80" t="str">
            <v>GU_400272</v>
          </cell>
          <cell r="C80" t="str">
            <v>143</v>
          </cell>
        </row>
        <row r="81">
          <cell r="A81" t="str">
            <v>GU_400280</v>
          </cell>
          <cell r="C81" t="str">
            <v>0</v>
          </cell>
        </row>
        <row r="82">
          <cell r="A82" t="str">
            <v>GU_400281</v>
          </cell>
          <cell r="C82" t="str">
            <v>0</v>
          </cell>
        </row>
        <row r="83">
          <cell r="A83" t="str">
            <v>GU_400290</v>
          </cell>
          <cell r="C83" t="str">
            <v>0</v>
          </cell>
        </row>
        <row r="84">
          <cell r="A84" t="str">
            <v>GU_400324</v>
          </cell>
          <cell r="C84" t="str">
            <v>77.63</v>
          </cell>
        </row>
        <row r="85">
          <cell r="A85" t="str">
            <v>GU_400325</v>
          </cell>
          <cell r="C85" t="str">
            <v>77.64</v>
          </cell>
        </row>
        <row r="86">
          <cell r="A86" t="str">
            <v>GU_400360</v>
          </cell>
          <cell r="C86" t="str">
            <v>-3.19</v>
          </cell>
        </row>
        <row r="87">
          <cell r="A87" t="str">
            <v>GU_400361</v>
          </cell>
          <cell r="C87" t="str">
            <v>-3.19</v>
          </cell>
        </row>
        <row r="88">
          <cell r="A88" t="str">
            <v>GU_400362</v>
          </cell>
          <cell r="C88" t="str">
            <v>-3.19</v>
          </cell>
        </row>
        <row r="89">
          <cell r="A89" t="str">
            <v>GU_400363</v>
          </cell>
          <cell r="C89" t="str">
            <v>-3.19</v>
          </cell>
        </row>
        <row r="90">
          <cell r="A90" t="str">
            <v>GU_400480</v>
          </cell>
          <cell r="C90" t="str">
            <v>59.7</v>
          </cell>
        </row>
        <row r="91">
          <cell r="A91" t="str">
            <v>GU_400500</v>
          </cell>
          <cell r="C91" t="str">
            <v>47.53</v>
          </cell>
        </row>
        <row r="92">
          <cell r="A92" t="str">
            <v>GU_400530</v>
          </cell>
          <cell r="C92" t="str">
            <v>26.6</v>
          </cell>
        </row>
        <row r="93">
          <cell r="A93" t="str">
            <v>GU_400540</v>
          </cell>
          <cell r="C93" t="str">
            <v>54.19</v>
          </cell>
        </row>
        <row r="94">
          <cell r="A94" t="str">
            <v>GU_400762</v>
          </cell>
          <cell r="C94" t="str">
            <v>71.88</v>
          </cell>
        </row>
        <row r="95">
          <cell r="A95" t="str">
            <v>GU_400770</v>
          </cell>
          <cell r="C95" t="str">
            <v>190.97</v>
          </cell>
        </row>
        <row r="96">
          <cell r="A96" t="str">
            <v>GU_400771</v>
          </cell>
          <cell r="C96" t="str">
            <v>190.97</v>
          </cell>
        </row>
        <row r="97">
          <cell r="A97" t="str">
            <v>GU_400780</v>
          </cell>
          <cell r="C97" t="str">
            <v>193.76</v>
          </cell>
        </row>
        <row r="98">
          <cell r="A98" t="str">
            <v>GU_400781</v>
          </cell>
          <cell r="C98" t="str">
            <v>193.76</v>
          </cell>
        </row>
        <row r="99">
          <cell r="A99" t="str">
            <v>GU_400850</v>
          </cell>
          <cell r="C99" t="str">
            <v>40.96</v>
          </cell>
        </row>
        <row r="100">
          <cell r="A100" t="str">
            <v>GU_400930</v>
          </cell>
          <cell r="C100" t="str">
            <v>48.65</v>
          </cell>
        </row>
        <row r="101">
          <cell r="A101" t="str">
            <v>GU_401010</v>
          </cell>
          <cell r="C101" t="str">
            <v>506.96</v>
          </cell>
        </row>
        <row r="102">
          <cell r="A102" t="str">
            <v>GU_401011</v>
          </cell>
          <cell r="C102" t="str">
            <v>506.95</v>
          </cell>
        </row>
        <row r="103">
          <cell r="A103" t="str">
            <v>GU_401230</v>
          </cell>
          <cell r="C103" t="str">
            <v>-5.77</v>
          </cell>
        </row>
        <row r="104">
          <cell r="A104" t="str">
            <v>GU_401860</v>
          </cell>
          <cell r="C104" t="str">
            <v>18.53</v>
          </cell>
        </row>
        <row r="105">
          <cell r="A105" t="str">
            <v>GU_402030</v>
          </cell>
          <cell r="C105" t="str">
            <v>-1</v>
          </cell>
        </row>
        <row r="106">
          <cell r="A106" t="str">
            <v>GU_403000</v>
          </cell>
          <cell r="C106" t="str">
            <v>424.84</v>
          </cell>
        </row>
        <row r="107">
          <cell r="A107" t="str">
            <v>GU_403450</v>
          </cell>
          <cell r="C107" t="str">
            <v>98.17</v>
          </cell>
        </row>
        <row r="108">
          <cell r="A108" t="str">
            <v>GU_403560</v>
          </cell>
          <cell r="C108" t="str">
            <v>-3.19</v>
          </cell>
        </row>
        <row r="109">
          <cell r="A109" t="str">
            <v>GU_403570</v>
          </cell>
          <cell r="C109" t="str">
            <v>-3.19</v>
          </cell>
        </row>
        <row r="110">
          <cell r="A110" t="str">
            <v>GU_403600</v>
          </cell>
          <cell r="C110" t="str">
            <v>-3.19</v>
          </cell>
        </row>
        <row r="111">
          <cell r="A111" t="str">
            <v>GU_403610</v>
          </cell>
          <cell r="C111" t="str">
            <v>108.86</v>
          </cell>
        </row>
        <row r="112">
          <cell r="A112" t="str">
            <v>GU_403620</v>
          </cell>
          <cell r="C112" t="str">
            <v>108.86</v>
          </cell>
        </row>
        <row r="113">
          <cell r="A113" t="str">
            <v>GU_403630</v>
          </cell>
          <cell r="C113" t="str">
            <v>-3.19</v>
          </cell>
        </row>
        <row r="114">
          <cell r="A114" t="str">
            <v>GU_403660</v>
          </cell>
          <cell r="C114" t="str">
            <v>-3.19</v>
          </cell>
        </row>
        <row r="115">
          <cell r="A115" t="str">
            <v>GU_403680</v>
          </cell>
          <cell r="C115" t="str">
            <v>111.57</v>
          </cell>
        </row>
        <row r="116">
          <cell r="A116" t="str">
            <v>GU_404010</v>
          </cell>
          <cell r="C116" t="str">
            <v>-435</v>
          </cell>
        </row>
        <row r="117">
          <cell r="A117" t="str">
            <v>GU_404260</v>
          </cell>
          <cell r="C117" t="str">
            <v>0</v>
          </cell>
        </row>
        <row r="118">
          <cell r="A118" t="str">
            <v>GU_404270</v>
          </cell>
          <cell r="C118" t="str">
            <v>0</v>
          </cell>
        </row>
        <row r="119">
          <cell r="A119" t="str">
            <v>GU_404380</v>
          </cell>
          <cell r="C119" t="str">
            <v>0</v>
          </cell>
        </row>
        <row r="120">
          <cell r="A120" t="str">
            <v>GU_404390</v>
          </cell>
          <cell r="C120" t="str">
            <v>0</v>
          </cell>
        </row>
        <row r="121">
          <cell r="A121" t="str">
            <v>GU_404510</v>
          </cell>
          <cell r="C121" t="str">
            <v>-239</v>
          </cell>
        </row>
        <row r="122">
          <cell r="A122" t="str">
            <v>GU_404520</v>
          </cell>
          <cell r="C122" t="str">
            <v>-316</v>
          </cell>
        </row>
        <row r="123">
          <cell r="A123" t="str">
            <v>GU_404530</v>
          </cell>
          <cell r="C123" t="str">
            <v>-95</v>
          </cell>
        </row>
        <row r="124">
          <cell r="A124" t="str">
            <v>GU_404540</v>
          </cell>
          <cell r="C124" t="str">
            <v>-95</v>
          </cell>
        </row>
        <row r="125">
          <cell r="A125" t="str">
            <v>GU_404550</v>
          </cell>
          <cell r="C125" t="str">
            <v>0</v>
          </cell>
        </row>
        <row r="126">
          <cell r="A126" t="str">
            <v>GU_404900</v>
          </cell>
          <cell r="C126" t="str">
            <v>-278</v>
          </cell>
        </row>
        <row r="127">
          <cell r="A127" t="str">
            <v>GU_404920</v>
          </cell>
          <cell r="C127" t="str">
            <v>-3.19</v>
          </cell>
        </row>
        <row r="128">
          <cell r="A128" t="str">
            <v>GU_405070</v>
          </cell>
          <cell r="C128" t="str">
            <v>-226</v>
          </cell>
        </row>
        <row r="129">
          <cell r="A129" t="str">
            <v>GU_405170</v>
          </cell>
          <cell r="C129" t="str">
            <v>-1000</v>
          </cell>
        </row>
        <row r="130">
          <cell r="A130" t="str">
            <v>GU_405850</v>
          </cell>
          <cell r="C130" t="str">
            <v>121.14</v>
          </cell>
        </row>
        <row r="131">
          <cell r="A131" t="str">
            <v>GU_405860</v>
          </cell>
          <cell r="C131" t="str">
            <v>125.79</v>
          </cell>
        </row>
        <row r="132">
          <cell r="A132" t="str">
            <v>GU_406490</v>
          </cell>
          <cell r="C132" t="str">
            <v>145.57</v>
          </cell>
        </row>
        <row r="133">
          <cell r="A133" t="str">
            <v>GU_406510</v>
          </cell>
          <cell r="C133" t="str">
            <v>132.62</v>
          </cell>
        </row>
        <row r="134">
          <cell r="A134" t="str">
            <v>GU_407320</v>
          </cell>
          <cell r="C134" t="str">
            <v>8.62</v>
          </cell>
        </row>
        <row r="135">
          <cell r="A135" t="str">
            <v>GU_407520</v>
          </cell>
          <cell r="C135" t="str">
            <v>0</v>
          </cell>
        </row>
        <row r="136">
          <cell r="A136" t="str">
            <v>GU_407530</v>
          </cell>
          <cell r="C136" t="str">
            <v>0</v>
          </cell>
        </row>
        <row r="137">
          <cell r="A137" t="str">
            <v>GU_407550</v>
          </cell>
          <cell r="C137" t="str">
            <v>-38</v>
          </cell>
        </row>
        <row r="138">
          <cell r="A138" t="str">
            <v>GU_407560</v>
          </cell>
          <cell r="C138" t="str">
            <v>98.17</v>
          </cell>
        </row>
        <row r="139">
          <cell r="A139" t="str">
            <v>GU_407570</v>
          </cell>
          <cell r="C139" t="str">
            <v>98.17</v>
          </cell>
        </row>
        <row r="140">
          <cell r="A140" t="str">
            <v>GU_407580</v>
          </cell>
          <cell r="C140" t="str">
            <v>98.17</v>
          </cell>
        </row>
        <row r="141">
          <cell r="A141" t="str">
            <v>GU_407590</v>
          </cell>
          <cell r="C141" t="str">
            <v>98.17</v>
          </cell>
        </row>
        <row r="142">
          <cell r="A142" t="str">
            <v>GU_407600</v>
          </cell>
          <cell r="C142" t="str">
            <v>98.17</v>
          </cell>
        </row>
        <row r="143">
          <cell r="A143" t="str">
            <v>GU_500040</v>
          </cell>
          <cell r="C143" t="str">
            <v>51.59</v>
          </cell>
        </row>
        <row r="144">
          <cell r="A144" t="str">
            <v>GU_500041</v>
          </cell>
          <cell r="C144" t="str">
            <v>206.04</v>
          </cell>
        </row>
        <row r="145">
          <cell r="A145" t="str">
            <v>GU_500283</v>
          </cell>
          <cell r="C145" t="str">
            <v>246.74</v>
          </cell>
        </row>
        <row r="146">
          <cell r="A146" t="str">
            <v>GU_500284</v>
          </cell>
          <cell r="C146" t="str">
            <v>246.74</v>
          </cell>
        </row>
        <row r="147">
          <cell r="A147" t="str">
            <v>GU_500820</v>
          </cell>
          <cell r="C147" t="str">
            <v>196.54</v>
          </cell>
        </row>
        <row r="148">
          <cell r="A148" t="str">
            <v>GU_500821</v>
          </cell>
          <cell r="C148" t="str">
            <v>196.54</v>
          </cell>
        </row>
        <row r="149">
          <cell r="A149" t="str">
            <v>GU_500824</v>
          </cell>
          <cell r="C149" t="str">
            <v>425.9</v>
          </cell>
        </row>
        <row r="150">
          <cell r="A150" t="str">
            <v>GU_500825</v>
          </cell>
          <cell r="C150" t="str">
            <v>425.9</v>
          </cell>
        </row>
        <row r="151">
          <cell r="A151" t="str">
            <v>GU_501130</v>
          </cell>
          <cell r="C151" t="str">
            <v>288.53</v>
          </cell>
        </row>
        <row r="152">
          <cell r="A152" t="str">
            <v>GU_501230</v>
          </cell>
          <cell r="C152" t="str">
            <v>0</v>
          </cell>
        </row>
        <row r="153">
          <cell r="A153" t="str">
            <v>GU_501350</v>
          </cell>
          <cell r="C153" t="str">
            <v>16.76</v>
          </cell>
        </row>
        <row r="154">
          <cell r="A154" t="str">
            <v>GU_503350</v>
          </cell>
          <cell r="C154" t="str">
            <v>0</v>
          </cell>
        </row>
        <row r="155">
          <cell r="A155" t="str">
            <v>GU_503720</v>
          </cell>
          <cell r="C155" t="str">
            <v>75.91</v>
          </cell>
        </row>
        <row r="156">
          <cell r="A156" t="str">
            <v>GU_503730</v>
          </cell>
          <cell r="C156" t="str">
            <v>75.91</v>
          </cell>
        </row>
        <row r="157">
          <cell r="A157" t="str">
            <v>GU_503740</v>
          </cell>
          <cell r="C157" t="str">
            <v>79.19</v>
          </cell>
        </row>
        <row r="158">
          <cell r="A158" t="str">
            <v>GU_503950</v>
          </cell>
          <cell r="C158" t="str">
            <v>-375</v>
          </cell>
        </row>
        <row r="159">
          <cell r="A159" t="str">
            <v>GU_503960</v>
          </cell>
          <cell r="C159" t="str">
            <v>-375</v>
          </cell>
        </row>
        <row r="160">
          <cell r="A160" t="str">
            <v>GU_503980</v>
          </cell>
          <cell r="C160" t="str">
            <v>0</v>
          </cell>
        </row>
        <row r="161">
          <cell r="A161" t="str">
            <v>GU_504110</v>
          </cell>
          <cell r="C161" t="str">
            <v>83.15</v>
          </cell>
        </row>
        <row r="162">
          <cell r="A162" t="str">
            <v>GU_504120</v>
          </cell>
          <cell r="C162" t="str">
            <v>83.15</v>
          </cell>
        </row>
        <row r="163">
          <cell r="A163" t="str">
            <v>GU_504250</v>
          </cell>
          <cell r="C163" t="str">
            <v>0</v>
          </cell>
        </row>
        <row r="164">
          <cell r="A164" t="str">
            <v>GU_504340</v>
          </cell>
          <cell r="C164" t="str">
            <v>331.49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chard Nayer" id="{A3671517-355B-4537-A00D-5020116DFFF8}" userId="S::richard.nayer@strath.ac.uk::770fed74-69b6-4284-9339-98a70c2a074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9-12T12:46:19.86" personId="{A3671517-355B-4537-A00D-5020116DFFF8}" id="{5000F297-809F-41F6-B3AB-F349592735FE}">
    <text>Wind =Demand; Test SNSP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5-09-16T17:44:32.72" personId="{A3671517-355B-4537-A00D-5020116DFFF8}" id="{3A9C4E29-8E11-4D3E-B1D1-32492B0B0C78}">
    <text>Unvalidated assumption of 125% of continuous rating.</text>
  </threadedComment>
  <threadedComment ref="D6" dT="2024-08-02T09:43:38.04" personId="{A3671517-355B-4537-A00D-5020116DFFF8}" id="{CA172FA7-685B-43DF-9263-570648D2AC8E}">
    <text>Status to 0 if line taken to itself.</text>
  </threadedComment>
  <threadedComment ref="F10" dT="2024-08-02T09:40:58.03" personId="{A3671517-355B-4537-A00D-5020116DFFF8}" id="{CAE7B849-D060-4299-AB1D-B3B934D6B709}">
    <text>Changed from 0 to 0.0001 to allow solution.</text>
  </threadedComment>
  <threadedComment ref="C31" dT="2025-09-16T13:49:00.08" personId="{A3671517-355B-4537-A00D-5020116DFFF8}" id="{A9FB9B08-5785-43AA-B7EE-F1F078D469C8}">
    <text>Marked as LOD in TYTS, clearly linked to Lodgewood LWD).</text>
  </threadedComment>
  <threadedComment ref="D96" dT="2024-08-02T09:43:38.04" personId="{A3671517-355B-4537-A00D-5020116DFFF8}" id="{79A83861-13F0-43DA-B3C4-D9FE572E0809}">
    <text>Status to 0 if line taken to itself.</text>
  </threadedComment>
  <threadedComment ref="F109" dT="2024-08-02T09:40:58.03" personId="{A3671517-355B-4537-A00D-5020116DFFF8}" id="{23285821-3CEF-46C0-B6F6-6DFA6F7F207A}">
    <text>Changed from 0 to 0.0001 to allow solution.</text>
  </threadedComment>
  <threadedComment ref="B156" dT="2025-09-16T15:55:27.45" personId="{A3671517-355B-4537-A00D-5020116DFFF8}" id="{0CB4AEE9-DF7A-4754-8D11-0194C3399C3B}">
    <text>Changed to CTN (Cauteen)</text>
  </threadedComment>
  <threadedComment ref="A157" dT="2025-09-04T14:38:09.68" personId="{A3671517-355B-4537-A00D-5020116DFFF8}" id="{CDB95027-5D4B-4FC1-B1BB-DBF2FB526079}">
    <text>Changed from CBA to CBL - Cloghboola is connected to Trien (TRI), no CBA on diagram.</text>
  </threadedComment>
  <threadedComment ref="E162" dT="2025-10-01T10:09:42.37" personId="{A3671517-355B-4537-A00D-5020116DFFF8}" id="{72F84ABB-A821-4503-9427-BCC4C0FF4756}">
    <text>Very small value</text>
  </threadedComment>
  <threadedComment ref="E227" dT="2025-10-01T09:43:49.22" personId="{A3671517-355B-4537-A00D-5020116DFFF8}" id="{EC08CD65-0DAC-45C2-9306-6B02B718E0F4}">
    <text>Very small for 0 R</text>
  </threadedComment>
  <threadedComment ref="F227" dT="2025-10-01T09:43:49.22" personId="{A3671517-355B-4537-A00D-5020116DFFF8}" id="{2A7016F9-2D73-4DA6-8E79-C554CCFB492C}">
    <text>Very small for 0 X</text>
  </threadedComment>
  <threadedComment ref="E228" dT="2025-10-01T09:43:49.22" personId="{A3671517-355B-4537-A00D-5020116DFFF8}" id="{A09A1BD4-63E8-4972-9CC1-D04FF2F66C05}">
    <text>Very small for 0 R</text>
  </threadedComment>
  <threadedComment ref="E313" dT="2025-10-01T09:56:40.49" personId="{A3671517-355B-4537-A00D-5020116DFFF8}" id="{D0D8826C-C92C-4073-80C6-5E294CC5FD6C}">
    <text>Not defined in TYTS, assumed to be no losses.</text>
  </threadedComment>
  <threadedComment ref="F313" dT="2025-10-01T09:56:40.49" personId="{A3671517-355B-4537-A00D-5020116DFFF8}" id="{5FC72B35-975C-4DC9-A486-6E2BB71BA91A}">
    <text>Not defined in TYTS, assumed to be no losses.</text>
  </threadedComment>
  <threadedComment ref="G313" dT="2025-10-01T09:56:40.49" personId="{A3671517-355B-4537-A00D-5020116DFFF8}" id="{7AD9E0B9-6FEE-4195-A3C8-77391E37F2E9}">
    <text>Not defined in TYTS, assumed to be no losses.</text>
  </threadedComment>
  <threadedComment ref="I313" dT="2025-10-01T09:56:40.49" personId="{A3671517-355B-4537-A00D-5020116DFFF8}" id="{E80C6B14-3E4E-44B5-B9CA-D45E4F54D4A5}">
    <text>Not defined in TYTS, assumed to be as line from RNW</text>
  </threadedComment>
  <threadedComment ref="C330" dT="2025-09-16T14:12:21.16" personId="{A3671517-355B-4537-A00D-5020116DFFF8}" id="{3E57A1E0-2541-44BB-8F0B-DE7F26EADD8A}">
    <text>Drumquin Cluster, connected to DRO and OMA</text>
  </threadedComment>
  <threadedComment ref="D355" dT="2024-08-02T09:43:38.04" personId="{A3671517-355B-4537-A00D-5020116DFFF8}" id="{1E1A108C-8638-448E-BCD1-51B274AFF28E}">
    <text>Status to 0 if line taken to itself.</text>
  </threadedComment>
  <threadedComment ref="A389" dT="2025-09-16T13:59:19.01" personId="{A3671517-355B-4537-A00D-5020116DFFF8}" id="{BA584528-724C-46E1-B229-EAED96B05BE4}">
    <text>Great Island -&gt; Loughtown (Greenlink) Link.</text>
  </threadedComment>
  <threadedComment ref="E389" dT="2025-09-16T14:33:04.48" personId="{A3671517-355B-4537-A00D-5020116DFFF8}" id="{ADFFD22B-213F-4B5C-9D93-BC25202786F1}">
    <text>Equal to 0, set very small.</text>
  </threadedComment>
  <threadedComment ref="F389" dT="2025-09-16T14:33:04.48" personId="{A3671517-355B-4537-A00D-5020116DFFF8}" id="{D7024E1C-6017-4C99-B7AA-6F4D311E0E80}">
    <text>Equal to 0, set very small.</text>
  </threadedComment>
  <threadedComment ref="F450" dT="2024-08-02T09:40:58.03" personId="{A3671517-355B-4537-A00D-5020116DFFF8}" id="{F4397CAF-BE24-41B0-A502-0897C8DF55C6}">
    <text>Changed from 0 to 0.0001 to allow solution.</text>
  </threadedComment>
  <threadedComment ref="G514" dT="2025-09-16T14:56:46.49" personId="{A3671517-355B-4537-A00D-5020116DFFF8}" id="{09660962-9A12-4046-A23C-3B4EC88A55A0}">
    <text>Assumed to be as the 1km AUG - SK line.</text>
  </threadedComment>
  <threadedComment ref="I514" dT="2025-09-16T14:56:46.49" personId="{A3671517-355B-4537-A00D-5020116DFFF8}" id="{8170A905-36EF-4B45-85F3-43B3481FBBD3}">
    <text>Assumed to be as the 1km AUG - SK line.</text>
  </threadedComment>
  <threadedComment ref="D560" dT="2024-08-02T09:43:38.04" personId="{A3671517-355B-4537-A00D-5020116DFFF8}" id="{C26F89B8-04EA-4F07-B612-4E88723DEF83}">
    <text>Status to 0 if line taken to itself.</text>
  </threadedComment>
  <threadedComment ref="F563" dT="2024-08-02T09:40:58.03" personId="{A3671517-355B-4537-A00D-5020116DFFF8}" id="{03E15AA1-6594-419C-8060-FEEC9F911274}">
    <text>Changed from 0 to 0.0001 to allow solution.</text>
  </threadedComment>
  <threadedComment ref="F570" dT="2024-08-02T09:40:58.03" personId="{A3671517-355B-4537-A00D-5020116DFFF8}" id="{52BD8C2F-B4B8-411E-8464-CB063F01BE1A}">
    <text>Changed from 0 to 0.0001 to allow solution.</text>
  </threadedComment>
  <threadedComment ref="F591" dT="2024-08-02T09:40:58.03" personId="{A3671517-355B-4537-A00D-5020116DFFF8}" id="{AC6BB7D7-5460-4481-9377-CBCC7022BE22}">
    <text>Changed from 0 to 0.0001 to allow solution.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O1" dT="2025-09-04T14:38:09.68" personId="{A3671517-355B-4537-A00D-5020116DFFF8}" id="{98315978-7E36-4C62-8195-616928A90145}">
    <text>Changed from CBA to CBL - Cloghboola is connected to Trien (TRI), no CBA on diagram.</text>
  </threadedComment>
  <threadedComment ref="MU1" dT="2025-09-16T13:59:19.01" personId="{A3671517-355B-4537-A00D-5020116DFFF8}" id="{B6717718-51FB-42D2-8B63-D8EFFAD64CB8}">
    <text>Great Island -&gt; Loughtown (Greenlink) Link.</text>
  </threadedComment>
  <threadedComment ref="RD2" dT="2025-09-16T17:40:49.61" personId="{A3671517-355B-4537-A00D-5020116DFFF8}" id="{3F0062D0-C3D9-46C4-8DAF-BA7EA281C4B7}">
    <text>Limited to 450 MW total flow North to South or South to North in line with S_MWR_ROI.</text>
  </threadedComment>
  <threadedComment ref="RE2" dT="2025-09-16T17:40:49.61" personId="{A3671517-355B-4537-A00D-5020116DFFF8}" id="{D807F038-171F-48E2-BB7B-C12F7CC6E9E3}">
    <text>Limited to 450 MW total flow North to South or South to North in line with S_MWR_ROI.</text>
  </threadedComment>
  <threadedComment ref="RG2" dT="2025-09-16T14:56:46.49" personId="{A3671517-355B-4537-A00D-5020116DFFF8}" id="{E2B4D74F-A248-47BB-B0B2-CED4D254F577}">
    <text>Assumed to be as the 1km AUG - SK line.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" dT="2025-09-16T17:44:32.72" personId="{A3671517-355B-4537-A00D-5020116DFFF8}" id="{2D4104D5-7C13-4ECB-A86D-404ABCEC1FE8}">
    <text>Unvalidated assumption of 125% of continuous rating.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4" dT="2025-10-01T11:49:31.15" personId="{A3671517-355B-4537-A00D-5020116DFFF8}" id="{6BFC5A5C-9BEF-4CEF-927A-CD3DB1510EAE}">
    <text>Not included in model - interconnector under construction.</text>
  </threadedComment>
  <threadedComment ref="Q28" dT="2025-10-02T08:20:10.93" personId="{A3671517-355B-4537-A00D-5020116DFFF8}" id="{AE0C8273-9F1F-4323-8B3D-3F16C8273B70}">
    <text>Manually Set to 0</text>
  </threadedComment>
  <threadedComment ref="Q29" dT="2025-10-02T08:20:10.93" personId="{A3671517-355B-4537-A00D-5020116DFFF8}" id="{A9534043-F3A1-4822-B49D-220B8B90D1BC}">
    <text>Manually Set to 0</text>
  </threadedComment>
  <threadedComment ref="J40" dT="2025-10-01T11:49:31.15" personId="{A3671517-355B-4537-A00D-5020116DFFF8}" id="{85B9955E-75A3-4649-AD06-C97F6FC08BEA}">
    <text>Not included in model - BESS</text>
  </threadedComment>
  <threadedComment ref="J113" dT="2025-10-01T11:49:31.15" personId="{A3671517-355B-4537-A00D-5020116DFFF8}" id="{B0A7061B-70D4-4A7E-9E33-3B384A503159}">
    <text>Not included in model - BESS</text>
  </threadedComment>
  <threadedComment ref="J114" dT="2025-10-01T11:49:31.15" personId="{A3671517-355B-4537-A00D-5020116DFFF8}" id="{C693DDA9-3BD0-4B92-A8FE-4F720A74D55F}">
    <text>Not included in model - BESS</text>
  </threadedComment>
  <threadedComment ref="Q121" dT="2025-10-02T08:20:10.93" personId="{A3671517-355B-4537-A00D-5020116DFFF8}" id="{7D62AB9C-E7AF-49F6-81ED-C76E12B2B7C5}">
    <text>Manually Set to 0</text>
  </threadedComment>
  <threadedComment ref="J170" dT="2025-10-01T11:49:31.15" personId="{A3671517-355B-4537-A00D-5020116DFFF8}" id="{7740BF8C-E3F1-466C-B3D5-CC1A9606A974}">
    <text>Not included in model - BESS</text>
  </threadedComment>
  <threadedComment ref="Q245" dT="2025-10-02T08:20:10.93" personId="{A3671517-355B-4537-A00D-5020116DFFF8}" id="{EA1DB443-3007-4948-9EC3-C7831E5DE55B}">
    <text>Manually Set to 0</text>
  </threadedComment>
  <threadedComment ref="Q284" dT="2025-10-02T08:20:10.93" personId="{A3671517-355B-4537-A00D-5020116DFFF8}" id="{A33D9A93-612D-4035-AD2B-58F6951C6620}">
    <text>Manually Set to 0</text>
  </threadedComment>
  <threadedComment ref="Q285" dT="2025-10-02T08:20:10.93" personId="{A3671517-355B-4537-A00D-5020116DFFF8}" id="{AC85D097-00EC-4687-813D-73BA8B4F6E54}">
    <text>Manually Set to 0</text>
  </threadedComment>
  <threadedComment ref="Q286" dT="2025-10-02T08:20:10.93" personId="{A3671517-355B-4537-A00D-5020116DFFF8}" id="{803CFC99-8311-41B9-A828-F491D1F128F9}">
    <text>Manually Set to 0</text>
  </threadedComment>
  <threadedComment ref="Q287" dT="2025-10-02T08:20:10.93" personId="{A3671517-355B-4537-A00D-5020116DFFF8}" id="{6B600A07-097C-4D39-8AB5-87DD1B59134E}">
    <text>Manually Set to 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opLeftCell="A106" zoomScale="110" zoomScaleNormal="110" workbookViewId="0">
      <selection activeCell="B121" sqref="B121"/>
    </sheetView>
  </sheetViews>
  <sheetFormatPr defaultColWidth="8.77734375" defaultRowHeight="14.4" x14ac:dyDescent="0.3"/>
  <cols>
    <col min="1" max="1" width="13.5546875" bestFit="1" customWidth="1"/>
    <col min="2" max="2" width="30.6640625" bestFit="1" customWidth="1"/>
    <col min="3" max="1019" width="8.44140625" customWidth="1"/>
  </cols>
  <sheetData>
    <row r="1" spans="1:5" x14ac:dyDescent="0.3">
      <c r="A1" s="5" t="s">
        <v>0</v>
      </c>
      <c r="B1" s="5" t="s">
        <v>810</v>
      </c>
      <c r="C1" s="5" t="s">
        <v>1</v>
      </c>
      <c r="D1" s="5" t="s">
        <v>2</v>
      </c>
      <c r="E1" s="5" t="s">
        <v>3</v>
      </c>
    </row>
    <row r="2" spans="1:5" x14ac:dyDescent="0.3">
      <c r="A2" s="4" t="s">
        <v>36</v>
      </c>
      <c r="B2" s="4" t="s">
        <v>37</v>
      </c>
      <c r="C2" s="4" t="s">
        <v>38</v>
      </c>
      <c r="D2" s="4">
        <v>1</v>
      </c>
      <c r="E2" s="4" t="s">
        <v>39</v>
      </c>
    </row>
    <row r="3" spans="1:5" x14ac:dyDescent="0.3">
      <c r="A3" s="4" t="s">
        <v>40</v>
      </c>
      <c r="B3" s="4" t="s">
        <v>37</v>
      </c>
      <c r="C3" s="4" t="s">
        <v>38</v>
      </c>
      <c r="D3" s="4">
        <v>1</v>
      </c>
      <c r="E3" s="4" t="s">
        <v>39</v>
      </c>
    </row>
    <row r="4" spans="1:5" x14ac:dyDescent="0.3">
      <c r="A4" s="4" t="s">
        <v>41</v>
      </c>
      <c r="B4" s="4" t="s">
        <v>42</v>
      </c>
      <c r="C4" s="4" t="s">
        <v>38</v>
      </c>
      <c r="D4" s="4">
        <v>1</v>
      </c>
      <c r="E4" s="4" t="s">
        <v>39</v>
      </c>
    </row>
    <row r="5" spans="1:5" x14ac:dyDescent="0.3">
      <c r="A5" s="4" t="s">
        <v>43</v>
      </c>
      <c r="B5" s="4" t="s">
        <v>44</v>
      </c>
      <c r="C5" s="4" t="s">
        <v>45</v>
      </c>
      <c r="D5" s="4">
        <v>1</v>
      </c>
      <c r="E5" s="4" t="s">
        <v>39</v>
      </c>
    </row>
    <row r="6" spans="1:5" x14ac:dyDescent="0.3">
      <c r="A6" s="4" t="s">
        <v>46</v>
      </c>
      <c r="B6" s="4" t="s">
        <v>47</v>
      </c>
      <c r="C6" s="4" t="s">
        <v>38</v>
      </c>
      <c r="D6" s="4">
        <v>1</v>
      </c>
      <c r="E6" s="4" t="s">
        <v>39</v>
      </c>
    </row>
    <row r="7" spans="1:5" x14ac:dyDescent="0.3">
      <c r="A7" s="4" t="s">
        <v>48</v>
      </c>
      <c r="B7" s="4" t="s">
        <v>49</v>
      </c>
      <c r="C7" s="4" t="s">
        <v>38</v>
      </c>
      <c r="D7" s="4">
        <v>1</v>
      </c>
      <c r="E7" s="4" t="s">
        <v>50</v>
      </c>
    </row>
    <row r="8" spans="1:5" x14ac:dyDescent="0.3">
      <c r="A8" s="4" t="s">
        <v>51</v>
      </c>
      <c r="B8" s="4" t="s">
        <v>52</v>
      </c>
      <c r="C8" s="4" t="s">
        <v>53</v>
      </c>
      <c r="D8" s="4">
        <v>1</v>
      </c>
      <c r="E8" s="4" t="s">
        <v>50</v>
      </c>
    </row>
    <row r="9" spans="1:5" x14ac:dyDescent="0.3">
      <c r="A9" s="4" t="s">
        <v>54</v>
      </c>
      <c r="B9" s="4" t="s">
        <v>55</v>
      </c>
      <c r="C9" s="4" t="s">
        <v>38</v>
      </c>
      <c r="D9" s="4">
        <v>1</v>
      </c>
      <c r="E9" s="4" t="s">
        <v>39</v>
      </c>
    </row>
    <row r="10" spans="1:5" x14ac:dyDescent="0.3">
      <c r="A10" s="4" t="s">
        <v>56</v>
      </c>
      <c r="B10" s="4" t="s">
        <v>2974</v>
      </c>
      <c r="C10" s="4" t="s">
        <v>38</v>
      </c>
      <c r="D10" s="4">
        <v>1</v>
      </c>
      <c r="E10" s="4" t="s">
        <v>39</v>
      </c>
    </row>
    <row r="11" spans="1:5" x14ac:dyDescent="0.3">
      <c r="A11" s="4" t="s">
        <v>57</v>
      </c>
      <c r="B11" s="4" t="s">
        <v>58</v>
      </c>
      <c r="C11" s="4" t="s">
        <v>38</v>
      </c>
      <c r="D11" s="4">
        <v>1</v>
      </c>
      <c r="E11" s="4" t="s">
        <v>39</v>
      </c>
    </row>
    <row r="12" spans="1:5" x14ac:dyDescent="0.3">
      <c r="A12" s="4" t="s">
        <v>3128</v>
      </c>
      <c r="B12" s="4" t="s">
        <v>3132</v>
      </c>
      <c r="C12" s="4">
        <v>110</v>
      </c>
      <c r="D12" s="4">
        <v>1</v>
      </c>
      <c r="E12" s="4" t="s">
        <v>50</v>
      </c>
    </row>
    <row r="13" spans="1:5" x14ac:dyDescent="0.3">
      <c r="A13" s="4" t="s">
        <v>59</v>
      </c>
      <c r="B13" s="4" t="s">
        <v>2975</v>
      </c>
      <c r="C13" s="4" t="s">
        <v>53</v>
      </c>
      <c r="D13" s="4">
        <v>1</v>
      </c>
      <c r="E13" s="4" t="s">
        <v>50</v>
      </c>
    </row>
    <row r="14" spans="1:5" x14ac:dyDescent="0.3">
      <c r="A14" s="4" t="s">
        <v>60</v>
      </c>
      <c r="B14" s="4" t="s">
        <v>61</v>
      </c>
      <c r="C14" s="4" t="s">
        <v>38</v>
      </c>
      <c r="D14" s="4">
        <v>1</v>
      </c>
      <c r="E14" s="4" t="s">
        <v>39</v>
      </c>
    </row>
    <row r="15" spans="1:5" x14ac:dyDescent="0.3">
      <c r="A15" s="4" t="s">
        <v>62</v>
      </c>
      <c r="B15" s="4" t="s">
        <v>63</v>
      </c>
      <c r="C15" s="4" t="s">
        <v>38</v>
      </c>
      <c r="D15" s="4">
        <v>1</v>
      </c>
      <c r="E15" s="4" t="s">
        <v>50</v>
      </c>
    </row>
    <row r="16" spans="1:5" x14ac:dyDescent="0.3">
      <c r="A16" s="4" t="s">
        <v>64</v>
      </c>
      <c r="B16" s="4" t="s">
        <v>65</v>
      </c>
      <c r="C16" s="4" t="s">
        <v>53</v>
      </c>
      <c r="D16" s="4">
        <v>1</v>
      </c>
      <c r="E16" s="4" t="s">
        <v>50</v>
      </c>
    </row>
    <row r="17" spans="1:5" x14ac:dyDescent="0.3">
      <c r="A17" s="4" t="s">
        <v>66</v>
      </c>
      <c r="B17" s="4" t="s">
        <v>67</v>
      </c>
      <c r="C17" s="4" t="s">
        <v>38</v>
      </c>
      <c r="D17" s="4">
        <v>1</v>
      </c>
      <c r="E17" s="4" t="s">
        <v>39</v>
      </c>
    </row>
    <row r="18" spans="1:5" x14ac:dyDescent="0.3">
      <c r="A18" s="4" t="s">
        <v>68</v>
      </c>
      <c r="B18" s="4" t="s">
        <v>69</v>
      </c>
      <c r="C18" s="4" t="s">
        <v>38</v>
      </c>
      <c r="D18" s="4">
        <v>1</v>
      </c>
      <c r="E18" s="4" t="s">
        <v>39</v>
      </c>
    </row>
    <row r="19" spans="1:5" x14ac:dyDescent="0.3">
      <c r="A19" s="4" t="s">
        <v>70</v>
      </c>
      <c r="B19" s="4" t="s">
        <v>71</v>
      </c>
      <c r="C19" s="4" t="s">
        <v>38</v>
      </c>
      <c r="D19" s="4">
        <v>1</v>
      </c>
      <c r="E19" s="4" t="s">
        <v>39</v>
      </c>
    </row>
    <row r="20" spans="1:5" x14ac:dyDescent="0.3">
      <c r="A20" s="4" t="s">
        <v>72</v>
      </c>
      <c r="B20" s="4" t="s">
        <v>73</v>
      </c>
      <c r="C20" s="4" t="s">
        <v>38</v>
      </c>
      <c r="D20" s="4">
        <v>1</v>
      </c>
      <c r="E20" s="4" t="s">
        <v>39</v>
      </c>
    </row>
    <row r="21" spans="1:5" x14ac:dyDescent="0.3">
      <c r="A21" s="4" t="s">
        <v>74</v>
      </c>
      <c r="B21" s="4" t="s">
        <v>75</v>
      </c>
      <c r="C21" s="4" t="s">
        <v>45</v>
      </c>
      <c r="D21" s="4">
        <v>1</v>
      </c>
      <c r="E21" s="4" t="s">
        <v>39</v>
      </c>
    </row>
    <row r="22" spans="1:5" x14ac:dyDescent="0.3">
      <c r="A22" s="4" t="s">
        <v>76</v>
      </c>
      <c r="B22" s="4" t="s">
        <v>77</v>
      </c>
      <c r="C22" s="4" t="s">
        <v>38</v>
      </c>
      <c r="D22" s="4">
        <v>1</v>
      </c>
      <c r="E22" s="4" t="s">
        <v>39</v>
      </c>
    </row>
    <row r="23" spans="1:5" x14ac:dyDescent="0.3">
      <c r="A23" s="4" t="s">
        <v>78</v>
      </c>
      <c r="B23" s="4" t="s">
        <v>79</v>
      </c>
      <c r="C23" s="4" t="s">
        <v>38</v>
      </c>
      <c r="D23" s="4">
        <v>1</v>
      </c>
      <c r="E23" s="4" t="s">
        <v>39</v>
      </c>
    </row>
    <row r="24" spans="1:5" x14ac:dyDescent="0.3">
      <c r="A24" s="4" t="s">
        <v>80</v>
      </c>
      <c r="B24" s="4" t="s">
        <v>81</v>
      </c>
      <c r="C24" s="4" t="s">
        <v>38</v>
      </c>
      <c r="D24" s="4">
        <v>1</v>
      </c>
      <c r="E24" s="4" t="s">
        <v>39</v>
      </c>
    </row>
    <row r="25" spans="1:5" x14ac:dyDescent="0.3">
      <c r="A25" s="4" t="s">
        <v>82</v>
      </c>
      <c r="B25" s="4" t="s">
        <v>83</v>
      </c>
      <c r="C25" s="4" t="s">
        <v>38</v>
      </c>
      <c r="D25" s="4">
        <v>1</v>
      </c>
      <c r="E25" s="4" t="s">
        <v>39</v>
      </c>
    </row>
    <row r="26" spans="1:5" x14ac:dyDescent="0.3">
      <c r="A26" s="4" t="s">
        <v>84</v>
      </c>
      <c r="B26" s="4" t="s">
        <v>85</v>
      </c>
      <c r="C26" s="4" t="s">
        <v>38</v>
      </c>
      <c r="D26" s="4">
        <v>1</v>
      </c>
      <c r="E26" s="4" t="s">
        <v>39</v>
      </c>
    </row>
    <row r="27" spans="1:5" x14ac:dyDescent="0.3">
      <c r="A27" s="4" t="s">
        <v>86</v>
      </c>
      <c r="B27" s="4" t="s">
        <v>87</v>
      </c>
      <c r="C27" s="4" t="s">
        <v>38</v>
      </c>
      <c r="D27" s="4">
        <v>1</v>
      </c>
      <c r="E27" s="4" t="s">
        <v>39</v>
      </c>
    </row>
    <row r="28" spans="1:5" x14ac:dyDescent="0.3">
      <c r="A28" s="4" t="s">
        <v>88</v>
      </c>
      <c r="B28" s="4" t="s">
        <v>89</v>
      </c>
      <c r="C28" s="4" t="s">
        <v>38</v>
      </c>
      <c r="D28" s="4">
        <v>1</v>
      </c>
      <c r="E28" s="4" t="s">
        <v>39</v>
      </c>
    </row>
    <row r="29" spans="1:5" x14ac:dyDescent="0.3">
      <c r="A29" s="4" t="s">
        <v>90</v>
      </c>
      <c r="B29" s="4" t="s">
        <v>91</v>
      </c>
      <c r="C29" s="4" t="s">
        <v>38</v>
      </c>
      <c r="D29" s="4">
        <v>1</v>
      </c>
      <c r="E29" s="4" t="s">
        <v>39</v>
      </c>
    </row>
    <row r="30" spans="1:5" x14ac:dyDescent="0.3">
      <c r="A30" s="4" t="s">
        <v>92</v>
      </c>
      <c r="B30" s="4" t="s">
        <v>93</v>
      </c>
      <c r="C30" s="4" t="s">
        <v>38</v>
      </c>
      <c r="D30" s="4">
        <v>1</v>
      </c>
      <c r="E30" s="4" t="s">
        <v>39</v>
      </c>
    </row>
    <row r="31" spans="1:5" x14ac:dyDescent="0.3">
      <c r="A31" s="4" t="s">
        <v>94</v>
      </c>
      <c r="B31" s="4" t="s">
        <v>95</v>
      </c>
      <c r="C31" s="4" t="s">
        <v>38</v>
      </c>
      <c r="D31" s="4">
        <v>1</v>
      </c>
      <c r="E31" s="4" t="s">
        <v>50</v>
      </c>
    </row>
    <row r="32" spans="1:5" x14ac:dyDescent="0.3">
      <c r="A32" s="4" t="s">
        <v>96</v>
      </c>
      <c r="B32" s="4" t="s">
        <v>97</v>
      </c>
      <c r="C32" s="4" t="s">
        <v>53</v>
      </c>
      <c r="D32" s="4">
        <v>1</v>
      </c>
      <c r="E32" s="4" t="s">
        <v>50</v>
      </c>
    </row>
    <row r="33" spans="1:5" x14ac:dyDescent="0.3">
      <c r="A33" s="4" t="s">
        <v>98</v>
      </c>
      <c r="B33" s="4" t="s">
        <v>99</v>
      </c>
      <c r="C33" s="4" t="s">
        <v>38</v>
      </c>
      <c r="D33" s="4">
        <v>1</v>
      </c>
      <c r="E33" s="4" t="s">
        <v>39</v>
      </c>
    </row>
    <row r="34" spans="1:5" x14ac:dyDescent="0.3">
      <c r="A34" s="4" t="s">
        <v>100</v>
      </c>
      <c r="B34" s="4" t="s">
        <v>101</v>
      </c>
      <c r="C34" s="4" t="s">
        <v>38</v>
      </c>
      <c r="D34" s="4">
        <v>1</v>
      </c>
      <c r="E34" s="4" t="s">
        <v>39</v>
      </c>
    </row>
    <row r="35" spans="1:5" x14ac:dyDescent="0.3">
      <c r="A35" s="4" t="s">
        <v>102</v>
      </c>
      <c r="B35" s="4" t="s">
        <v>103</v>
      </c>
      <c r="C35" s="4" t="s">
        <v>38</v>
      </c>
      <c r="D35" s="4">
        <v>1</v>
      </c>
      <c r="E35" s="4" t="s">
        <v>39</v>
      </c>
    </row>
    <row r="36" spans="1:5" x14ac:dyDescent="0.3">
      <c r="A36" s="4" t="s">
        <v>104</v>
      </c>
      <c r="B36" s="4" t="s">
        <v>105</v>
      </c>
      <c r="C36" s="4" t="s">
        <v>38</v>
      </c>
      <c r="D36" s="4">
        <v>1</v>
      </c>
      <c r="E36" s="4" t="s">
        <v>39</v>
      </c>
    </row>
    <row r="37" spans="1:5" x14ac:dyDescent="0.3">
      <c r="A37" s="4" t="s">
        <v>106</v>
      </c>
      <c r="B37" s="4" t="s">
        <v>107</v>
      </c>
      <c r="C37" s="4" t="s">
        <v>38</v>
      </c>
      <c r="D37" s="4">
        <v>1</v>
      </c>
      <c r="E37" s="4" t="s">
        <v>39</v>
      </c>
    </row>
    <row r="38" spans="1:5" x14ac:dyDescent="0.3">
      <c r="A38" s="4" t="s">
        <v>108</v>
      </c>
      <c r="B38" s="4" t="s">
        <v>109</v>
      </c>
      <c r="C38" s="4" t="s">
        <v>38</v>
      </c>
      <c r="D38" s="4">
        <v>1</v>
      </c>
      <c r="E38" s="4" t="s">
        <v>39</v>
      </c>
    </row>
    <row r="39" spans="1:5" x14ac:dyDescent="0.3">
      <c r="A39" s="4" t="s">
        <v>110</v>
      </c>
      <c r="B39" s="4" t="s">
        <v>111</v>
      </c>
      <c r="C39" s="4" t="s">
        <v>38</v>
      </c>
      <c r="D39" s="4">
        <v>1</v>
      </c>
      <c r="E39" s="4" t="s">
        <v>39</v>
      </c>
    </row>
    <row r="40" spans="1:5" x14ac:dyDescent="0.3">
      <c r="A40" s="11" t="s">
        <v>112</v>
      </c>
      <c r="B40" s="11" t="s">
        <v>113</v>
      </c>
      <c r="C40" s="11" t="s">
        <v>38</v>
      </c>
      <c r="D40" s="11">
        <v>1</v>
      </c>
      <c r="E40" s="11" t="s">
        <v>39</v>
      </c>
    </row>
    <row r="41" spans="1:5" x14ac:dyDescent="0.3">
      <c r="A41" s="11" t="s">
        <v>3087</v>
      </c>
      <c r="B41" s="11" t="s">
        <v>3131</v>
      </c>
      <c r="C41" s="11" t="s">
        <v>38</v>
      </c>
      <c r="D41" s="11">
        <v>1</v>
      </c>
      <c r="E41" s="11" t="s">
        <v>39</v>
      </c>
    </row>
    <row r="42" spans="1:5" x14ac:dyDescent="0.3">
      <c r="A42" s="4" t="s">
        <v>114</v>
      </c>
      <c r="B42" s="4" t="s">
        <v>115</v>
      </c>
      <c r="C42" s="4" t="s">
        <v>38</v>
      </c>
      <c r="D42" s="4">
        <v>1</v>
      </c>
      <c r="E42" s="4" t="s">
        <v>39</v>
      </c>
    </row>
    <row r="43" spans="1:5" x14ac:dyDescent="0.3">
      <c r="A43" s="4" t="s">
        <v>116</v>
      </c>
      <c r="B43" s="4" t="s">
        <v>117</v>
      </c>
      <c r="C43" s="4" t="s">
        <v>38</v>
      </c>
      <c r="D43" s="4">
        <v>1</v>
      </c>
      <c r="E43" s="4" t="s">
        <v>39</v>
      </c>
    </row>
    <row r="44" spans="1:5" x14ac:dyDescent="0.3">
      <c r="A44" s="4" t="s">
        <v>118</v>
      </c>
      <c r="B44" s="4" t="s">
        <v>119</v>
      </c>
      <c r="C44" s="4" t="s">
        <v>38</v>
      </c>
      <c r="D44" s="4">
        <v>1</v>
      </c>
      <c r="E44" s="4" t="s">
        <v>39</v>
      </c>
    </row>
    <row r="45" spans="1:5" x14ac:dyDescent="0.3">
      <c r="A45" s="4" t="s">
        <v>120</v>
      </c>
      <c r="B45" s="4" t="s">
        <v>119</v>
      </c>
      <c r="C45" s="4" t="s">
        <v>38</v>
      </c>
      <c r="D45" s="4">
        <v>1</v>
      </c>
      <c r="E45" s="4" t="s">
        <v>39</v>
      </c>
    </row>
    <row r="46" spans="1:5" x14ac:dyDescent="0.3">
      <c r="A46" s="4" t="s">
        <v>121</v>
      </c>
      <c r="B46" s="4" t="s">
        <v>122</v>
      </c>
      <c r="C46" s="4" t="s">
        <v>38</v>
      </c>
      <c r="D46" s="4">
        <v>1</v>
      </c>
      <c r="E46" s="4" t="s">
        <v>39</v>
      </c>
    </row>
    <row r="47" spans="1:5" x14ac:dyDescent="0.3">
      <c r="A47" s="4" t="s">
        <v>123</v>
      </c>
      <c r="B47" s="4" t="s">
        <v>124</v>
      </c>
      <c r="C47" s="4" t="s">
        <v>38</v>
      </c>
      <c r="D47" s="4">
        <v>1</v>
      </c>
      <c r="E47" s="4" t="s">
        <v>39</v>
      </c>
    </row>
    <row r="48" spans="1:5" x14ac:dyDescent="0.3">
      <c r="A48" s="4" t="s">
        <v>125</v>
      </c>
      <c r="B48" s="4" t="s">
        <v>126</v>
      </c>
      <c r="C48" s="4" t="s">
        <v>38</v>
      </c>
      <c r="D48" s="4">
        <v>1</v>
      </c>
      <c r="E48" s="4" t="s">
        <v>39</v>
      </c>
    </row>
    <row r="49" spans="1:5" x14ac:dyDescent="0.3">
      <c r="A49" s="4" t="s">
        <v>127</v>
      </c>
      <c r="B49" s="4" t="s">
        <v>128</v>
      </c>
      <c r="C49" s="4" t="s">
        <v>45</v>
      </c>
      <c r="D49" s="4">
        <v>1</v>
      </c>
      <c r="E49" s="4" t="s">
        <v>39</v>
      </c>
    </row>
    <row r="50" spans="1:5" x14ac:dyDescent="0.3">
      <c r="A50" s="4" t="s">
        <v>129</v>
      </c>
      <c r="B50" s="4" t="s">
        <v>130</v>
      </c>
      <c r="C50" s="4" t="s">
        <v>38</v>
      </c>
      <c r="D50" s="4">
        <v>1</v>
      </c>
      <c r="E50" s="4" t="s">
        <v>39</v>
      </c>
    </row>
    <row r="51" spans="1:5" x14ac:dyDescent="0.3">
      <c r="A51" s="4" t="s">
        <v>131</v>
      </c>
      <c r="B51" s="4" t="s">
        <v>132</v>
      </c>
      <c r="C51" s="4" t="s">
        <v>38</v>
      </c>
      <c r="D51" s="4">
        <v>1</v>
      </c>
      <c r="E51" s="4" t="s">
        <v>39</v>
      </c>
    </row>
    <row r="52" spans="1:5" x14ac:dyDescent="0.3">
      <c r="A52" s="4" t="s">
        <v>133</v>
      </c>
      <c r="B52" s="4" t="s">
        <v>134</v>
      </c>
      <c r="C52" s="4" t="s">
        <v>38</v>
      </c>
      <c r="D52" s="4">
        <v>1</v>
      </c>
      <c r="E52" s="4" t="s">
        <v>39</v>
      </c>
    </row>
    <row r="53" spans="1:5" x14ac:dyDescent="0.3">
      <c r="A53" s="4" t="s">
        <v>135</v>
      </c>
      <c r="B53" s="4" t="s">
        <v>136</v>
      </c>
      <c r="C53" s="4" t="s">
        <v>38</v>
      </c>
      <c r="D53" s="4">
        <v>1</v>
      </c>
      <c r="E53" s="4" t="s">
        <v>50</v>
      </c>
    </row>
    <row r="54" spans="1:5" x14ac:dyDescent="0.3">
      <c r="A54" s="4" t="s">
        <v>137</v>
      </c>
      <c r="B54" s="4" t="s">
        <v>138</v>
      </c>
      <c r="C54" s="4" t="s">
        <v>53</v>
      </c>
      <c r="D54" s="4">
        <v>1</v>
      </c>
      <c r="E54" s="4" t="s">
        <v>50</v>
      </c>
    </row>
    <row r="55" spans="1:5" x14ac:dyDescent="0.3">
      <c r="A55" s="4" t="s">
        <v>139</v>
      </c>
      <c r="B55" s="4" t="s">
        <v>140</v>
      </c>
      <c r="C55" s="4" t="s">
        <v>38</v>
      </c>
      <c r="D55" s="4">
        <v>1</v>
      </c>
      <c r="E55" s="4" t="s">
        <v>50</v>
      </c>
    </row>
    <row r="56" spans="1:5" x14ac:dyDescent="0.3">
      <c r="A56" s="4" t="s">
        <v>141</v>
      </c>
      <c r="B56" s="4" t="s">
        <v>142</v>
      </c>
      <c r="C56" s="4" t="s">
        <v>53</v>
      </c>
      <c r="D56" s="4">
        <v>1</v>
      </c>
      <c r="E56" s="4" t="s">
        <v>50</v>
      </c>
    </row>
    <row r="57" spans="1:5" x14ac:dyDescent="0.3">
      <c r="A57" s="4" t="s">
        <v>143</v>
      </c>
      <c r="B57" s="4" t="s">
        <v>144</v>
      </c>
      <c r="C57" s="4" t="s">
        <v>38</v>
      </c>
      <c r="D57" s="4">
        <v>1</v>
      </c>
      <c r="E57" s="4" t="s">
        <v>50</v>
      </c>
    </row>
    <row r="58" spans="1:5" x14ac:dyDescent="0.3">
      <c r="A58" s="4" t="s">
        <v>145</v>
      </c>
      <c r="B58" s="4" t="s">
        <v>146</v>
      </c>
      <c r="C58" s="4" t="s">
        <v>53</v>
      </c>
      <c r="D58" s="4">
        <v>1</v>
      </c>
      <c r="E58" s="4" t="s">
        <v>50</v>
      </c>
    </row>
    <row r="59" spans="1:5" x14ac:dyDescent="0.3">
      <c r="A59" s="4" t="s">
        <v>147</v>
      </c>
      <c r="B59" s="4" t="s">
        <v>148</v>
      </c>
      <c r="C59" s="4" t="s">
        <v>38</v>
      </c>
      <c r="D59" s="4">
        <v>1</v>
      </c>
      <c r="E59" s="4" t="s">
        <v>39</v>
      </c>
    </row>
    <row r="60" spans="1:5" x14ac:dyDescent="0.3">
      <c r="A60" s="4" t="s">
        <v>149</v>
      </c>
      <c r="B60" s="4" t="s">
        <v>150</v>
      </c>
      <c r="C60" s="4" t="s">
        <v>38</v>
      </c>
      <c r="D60" s="4">
        <v>1</v>
      </c>
      <c r="E60" s="4" t="s">
        <v>39</v>
      </c>
    </row>
    <row r="61" spans="1:5" x14ac:dyDescent="0.3">
      <c r="A61" s="4" t="s">
        <v>151</v>
      </c>
      <c r="B61" s="4" t="s">
        <v>152</v>
      </c>
      <c r="C61" s="4" t="s">
        <v>38</v>
      </c>
      <c r="D61" s="4">
        <v>1</v>
      </c>
      <c r="E61" s="4" t="s">
        <v>50</v>
      </c>
    </row>
    <row r="62" spans="1:5" x14ac:dyDescent="0.3">
      <c r="A62" s="4" t="s">
        <v>153</v>
      </c>
      <c r="B62" s="4" t="s">
        <v>154</v>
      </c>
      <c r="C62" s="4" t="s">
        <v>155</v>
      </c>
      <c r="D62" s="4">
        <v>1</v>
      </c>
      <c r="E62" s="4" t="s">
        <v>50</v>
      </c>
    </row>
    <row r="63" spans="1:5" x14ac:dyDescent="0.3">
      <c r="A63" s="4" t="s">
        <v>156</v>
      </c>
      <c r="B63" s="4" t="s">
        <v>2976</v>
      </c>
      <c r="C63" s="4" t="s">
        <v>38</v>
      </c>
      <c r="D63" s="4">
        <v>1</v>
      </c>
      <c r="E63" s="4" t="s">
        <v>39</v>
      </c>
    </row>
    <row r="64" spans="1:5" x14ac:dyDescent="0.3">
      <c r="A64" s="4" t="s">
        <v>157</v>
      </c>
      <c r="B64" s="4" t="s">
        <v>158</v>
      </c>
      <c r="C64" s="4" t="s">
        <v>38</v>
      </c>
      <c r="D64" s="4">
        <v>1</v>
      </c>
      <c r="E64" s="4" t="s">
        <v>50</v>
      </c>
    </row>
    <row r="65" spans="1:5" x14ac:dyDescent="0.3">
      <c r="A65" s="4" t="s">
        <v>159</v>
      </c>
      <c r="B65" s="4" t="s">
        <v>160</v>
      </c>
      <c r="C65" s="4" t="s">
        <v>53</v>
      </c>
      <c r="D65" s="4">
        <v>1</v>
      </c>
      <c r="E65" s="4" t="s">
        <v>50</v>
      </c>
    </row>
    <row r="66" spans="1:5" x14ac:dyDescent="0.3">
      <c r="A66" s="4" t="s">
        <v>161</v>
      </c>
      <c r="B66" s="4" t="s">
        <v>162</v>
      </c>
      <c r="C66" s="4" t="s">
        <v>38</v>
      </c>
      <c r="D66" s="4">
        <v>1</v>
      </c>
      <c r="E66" s="4" t="s">
        <v>39</v>
      </c>
    </row>
    <row r="67" spans="1:5" x14ac:dyDescent="0.3">
      <c r="A67" s="4" t="s">
        <v>163</v>
      </c>
      <c r="B67" s="4" t="s">
        <v>164</v>
      </c>
      <c r="C67" s="4" t="s">
        <v>45</v>
      </c>
      <c r="D67" s="4">
        <v>1</v>
      </c>
      <c r="E67" s="4" t="s">
        <v>39</v>
      </c>
    </row>
    <row r="68" spans="1:5" x14ac:dyDescent="0.3">
      <c r="A68" s="4" t="s">
        <v>165</v>
      </c>
      <c r="B68" s="4" t="s">
        <v>166</v>
      </c>
      <c r="C68" s="4" t="s">
        <v>38</v>
      </c>
      <c r="D68" s="4">
        <v>1</v>
      </c>
      <c r="E68" s="4" t="s">
        <v>39</v>
      </c>
    </row>
    <row r="69" spans="1:5" x14ac:dyDescent="0.3">
      <c r="A69" s="4" t="s">
        <v>167</v>
      </c>
      <c r="B69" s="4" t="s">
        <v>168</v>
      </c>
      <c r="C69" s="4" t="s">
        <v>38</v>
      </c>
      <c r="D69" s="4">
        <v>1</v>
      </c>
      <c r="E69" s="4" t="s">
        <v>39</v>
      </c>
    </row>
    <row r="70" spans="1:5" x14ac:dyDescent="0.3">
      <c r="A70" s="4" t="s">
        <v>169</v>
      </c>
      <c r="B70" s="4" t="s">
        <v>170</v>
      </c>
      <c r="C70" s="4" t="s">
        <v>38</v>
      </c>
      <c r="D70" s="4">
        <v>1</v>
      </c>
      <c r="E70" s="4" t="s">
        <v>50</v>
      </c>
    </row>
    <row r="71" spans="1:5" x14ac:dyDescent="0.3">
      <c r="A71" s="4" t="s">
        <v>171</v>
      </c>
      <c r="B71" s="4" t="s">
        <v>172</v>
      </c>
      <c r="C71" s="4" t="s">
        <v>38</v>
      </c>
      <c r="D71" s="4">
        <v>1</v>
      </c>
      <c r="E71" s="4" t="s">
        <v>39</v>
      </c>
    </row>
    <row r="72" spans="1:5" x14ac:dyDescent="0.3">
      <c r="A72" s="4" t="s">
        <v>173</v>
      </c>
      <c r="B72" s="4" t="s">
        <v>174</v>
      </c>
      <c r="C72" s="4" t="s">
        <v>45</v>
      </c>
      <c r="D72" s="4">
        <v>1</v>
      </c>
      <c r="E72" s="4" t="s">
        <v>39</v>
      </c>
    </row>
    <row r="73" spans="1:5" x14ac:dyDescent="0.3">
      <c r="A73" s="4" t="s">
        <v>175</v>
      </c>
      <c r="B73" s="4" t="s">
        <v>176</v>
      </c>
      <c r="C73" s="4" t="s">
        <v>38</v>
      </c>
      <c r="D73" s="4">
        <v>1</v>
      </c>
      <c r="E73" s="4" t="s">
        <v>39</v>
      </c>
    </row>
    <row r="74" spans="1:5" x14ac:dyDescent="0.3">
      <c r="A74" s="4" t="s">
        <v>177</v>
      </c>
      <c r="B74" s="4" t="s">
        <v>178</v>
      </c>
      <c r="C74" s="4" t="s">
        <v>155</v>
      </c>
      <c r="D74" s="4">
        <v>1</v>
      </c>
      <c r="E74" s="4" t="s">
        <v>50</v>
      </c>
    </row>
    <row r="75" spans="1:5" x14ac:dyDescent="0.3">
      <c r="A75" s="4" t="s">
        <v>179</v>
      </c>
      <c r="B75" s="4" t="s">
        <v>180</v>
      </c>
      <c r="C75" s="4" t="s">
        <v>38</v>
      </c>
      <c r="D75" s="4">
        <v>1</v>
      </c>
      <c r="E75" s="4" t="s">
        <v>39</v>
      </c>
    </row>
    <row r="76" spans="1:5" x14ac:dyDescent="0.3">
      <c r="A76" s="4" t="s">
        <v>181</v>
      </c>
      <c r="B76" s="4" t="s">
        <v>182</v>
      </c>
      <c r="C76" s="4" t="s">
        <v>45</v>
      </c>
      <c r="D76" s="4">
        <v>1</v>
      </c>
      <c r="E76" s="4" t="s">
        <v>39</v>
      </c>
    </row>
    <row r="77" spans="1:5" x14ac:dyDescent="0.3">
      <c r="A77" s="4" t="s">
        <v>183</v>
      </c>
      <c r="B77" s="4" t="s">
        <v>184</v>
      </c>
      <c r="C77" s="4" t="s">
        <v>38</v>
      </c>
      <c r="D77" s="4">
        <v>1</v>
      </c>
      <c r="E77" s="4" t="s">
        <v>39</v>
      </c>
    </row>
    <row r="78" spans="1:5" x14ac:dyDescent="0.3">
      <c r="A78" s="4" t="s">
        <v>185</v>
      </c>
      <c r="B78" s="4" t="s">
        <v>186</v>
      </c>
      <c r="C78" s="4" t="s">
        <v>38</v>
      </c>
      <c r="D78" s="4">
        <v>1</v>
      </c>
      <c r="E78" s="4" t="s">
        <v>187</v>
      </c>
    </row>
    <row r="79" spans="1:5" x14ac:dyDescent="0.3">
      <c r="A79" s="4" t="s">
        <v>188</v>
      </c>
      <c r="B79" s="4" t="s">
        <v>189</v>
      </c>
      <c r="C79" s="4" t="s">
        <v>38</v>
      </c>
      <c r="D79" s="4">
        <v>1</v>
      </c>
      <c r="E79" s="4" t="s">
        <v>39</v>
      </c>
    </row>
    <row r="80" spans="1:5" x14ac:dyDescent="0.3">
      <c r="A80" s="4" t="s">
        <v>190</v>
      </c>
      <c r="B80" s="4" t="s">
        <v>191</v>
      </c>
      <c r="C80" s="4" t="s">
        <v>38</v>
      </c>
      <c r="D80" s="4">
        <v>1</v>
      </c>
      <c r="E80" s="4" t="s">
        <v>50</v>
      </c>
    </row>
    <row r="81" spans="1:5" x14ac:dyDescent="0.3">
      <c r="A81" s="4" t="s">
        <v>192</v>
      </c>
      <c r="B81" s="4" t="s">
        <v>193</v>
      </c>
      <c r="C81" s="4" t="s">
        <v>53</v>
      </c>
      <c r="D81" s="4">
        <v>1</v>
      </c>
      <c r="E81" s="4" t="s">
        <v>50</v>
      </c>
    </row>
    <row r="82" spans="1:5" x14ac:dyDescent="0.3">
      <c r="A82" s="4" t="s">
        <v>194</v>
      </c>
      <c r="B82" s="4" t="s">
        <v>195</v>
      </c>
      <c r="C82" s="4" t="s">
        <v>38</v>
      </c>
      <c r="D82" s="4">
        <v>1</v>
      </c>
      <c r="E82" s="4" t="s">
        <v>50</v>
      </c>
    </row>
    <row r="83" spans="1:5" x14ac:dyDescent="0.3">
      <c r="A83" s="4" t="s">
        <v>196</v>
      </c>
      <c r="B83" s="4" t="s">
        <v>197</v>
      </c>
      <c r="C83" s="4" t="s">
        <v>155</v>
      </c>
      <c r="D83" s="4">
        <v>1</v>
      </c>
      <c r="E83" s="4" t="s">
        <v>50</v>
      </c>
    </row>
    <row r="84" spans="1:5" x14ac:dyDescent="0.3">
      <c r="A84" s="4" t="s">
        <v>198</v>
      </c>
      <c r="B84" s="4" t="s">
        <v>199</v>
      </c>
      <c r="C84" s="4" t="s">
        <v>38</v>
      </c>
      <c r="D84" s="4">
        <v>1</v>
      </c>
      <c r="E84" s="4" t="s">
        <v>39</v>
      </c>
    </row>
    <row r="85" spans="1:5" x14ac:dyDescent="0.3">
      <c r="A85" s="4" t="s">
        <v>200</v>
      </c>
      <c r="B85" s="4" t="s">
        <v>201</v>
      </c>
      <c r="C85" s="4" t="s">
        <v>38</v>
      </c>
      <c r="D85" s="4">
        <v>1</v>
      </c>
      <c r="E85" s="4" t="s">
        <v>39</v>
      </c>
    </row>
    <row r="86" spans="1:5" x14ac:dyDescent="0.3">
      <c r="A86" s="4" t="s">
        <v>202</v>
      </c>
      <c r="B86" s="4" t="s">
        <v>203</v>
      </c>
      <c r="C86" s="4" t="s">
        <v>38</v>
      </c>
      <c r="D86" s="4">
        <v>1</v>
      </c>
      <c r="E86" s="4" t="s">
        <v>39</v>
      </c>
    </row>
    <row r="87" spans="1:5" x14ac:dyDescent="0.3">
      <c r="A87" s="4" t="s">
        <v>204</v>
      </c>
      <c r="B87" s="4" t="s">
        <v>205</v>
      </c>
      <c r="C87" s="4" t="s">
        <v>38</v>
      </c>
      <c r="D87" s="4">
        <v>1</v>
      </c>
      <c r="E87" s="4" t="s">
        <v>39</v>
      </c>
    </row>
    <row r="88" spans="1:5" x14ac:dyDescent="0.3">
      <c r="A88" s="4" t="s">
        <v>206</v>
      </c>
      <c r="B88" s="4" t="s">
        <v>207</v>
      </c>
      <c r="C88" s="4" t="s">
        <v>45</v>
      </c>
      <c r="D88" s="4">
        <v>1</v>
      </c>
      <c r="E88" s="4" t="s">
        <v>39</v>
      </c>
    </row>
    <row r="89" spans="1:5" x14ac:dyDescent="0.3">
      <c r="A89" s="4" t="s">
        <v>208</v>
      </c>
      <c r="B89" s="4" t="s">
        <v>209</v>
      </c>
      <c r="C89" s="4" t="s">
        <v>38</v>
      </c>
      <c r="D89" s="4">
        <v>1</v>
      </c>
      <c r="E89" s="4" t="s">
        <v>39</v>
      </c>
    </row>
    <row r="90" spans="1:5" x14ac:dyDescent="0.3">
      <c r="A90" s="4" t="s">
        <v>210</v>
      </c>
      <c r="B90" s="4" t="s">
        <v>211</v>
      </c>
      <c r="C90" s="4" t="s">
        <v>38</v>
      </c>
      <c r="D90" s="4">
        <v>1</v>
      </c>
      <c r="E90" s="4" t="s">
        <v>39</v>
      </c>
    </row>
    <row r="91" spans="1:5" x14ac:dyDescent="0.3">
      <c r="A91" s="4" t="s">
        <v>212</v>
      </c>
      <c r="B91" s="4" t="s">
        <v>213</v>
      </c>
      <c r="C91" s="4" t="s">
        <v>38</v>
      </c>
      <c r="D91" s="4">
        <v>1</v>
      </c>
      <c r="E91" s="4" t="s">
        <v>39</v>
      </c>
    </row>
    <row r="92" spans="1:5" x14ac:dyDescent="0.3">
      <c r="A92" s="4" t="s">
        <v>214</v>
      </c>
      <c r="B92" s="4" t="s">
        <v>215</v>
      </c>
      <c r="C92" s="4" t="s">
        <v>38</v>
      </c>
      <c r="D92" s="4">
        <v>1</v>
      </c>
      <c r="E92" s="4" t="s">
        <v>39</v>
      </c>
    </row>
    <row r="93" spans="1:5" x14ac:dyDescent="0.3">
      <c r="A93" s="4" t="s">
        <v>216</v>
      </c>
      <c r="B93" s="4" t="s">
        <v>217</v>
      </c>
      <c r="C93" s="4" t="s">
        <v>38</v>
      </c>
      <c r="D93" s="4">
        <v>1</v>
      </c>
      <c r="E93" s="4" t="s">
        <v>39</v>
      </c>
    </row>
    <row r="94" spans="1:5" x14ac:dyDescent="0.3">
      <c r="A94" s="4" t="s">
        <v>218</v>
      </c>
      <c r="B94" s="4" t="s">
        <v>219</v>
      </c>
      <c r="C94" s="4" t="s">
        <v>45</v>
      </c>
      <c r="D94" s="4">
        <v>1</v>
      </c>
      <c r="E94" s="4" t="s">
        <v>39</v>
      </c>
    </row>
    <row r="95" spans="1:5" x14ac:dyDescent="0.3">
      <c r="A95" s="4" t="s">
        <v>220</v>
      </c>
      <c r="B95" s="4" t="s">
        <v>221</v>
      </c>
      <c r="C95" s="4" t="s">
        <v>38</v>
      </c>
      <c r="D95" s="4">
        <v>1</v>
      </c>
      <c r="E95" s="4" t="s">
        <v>39</v>
      </c>
    </row>
    <row r="96" spans="1:5" x14ac:dyDescent="0.3">
      <c r="A96" s="4" t="s">
        <v>222</v>
      </c>
      <c r="B96" s="4" t="s">
        <v>223</v>
      </c>
      <c r="C96" s="4" t="s">
        <v>38</v>
      </c>
      <c r="D96" s="4">
        <v>1</v>
      </c>
      <c r="E96" s="4" t="s">
        <v>50</v>
      </c>
    </row>
    <row r="97" spans="1:5" x14ac:dyDescent="0.3">
      <c r="A97" s="4" t="s">
        <v>224</v>
      </c>
      <c r="B97" s="4" t="s">
        <v>225</v>
      </c>
      <c r="C97" s="4" t="s">
        <v>53</v>
      </c>
      <c r="D97" s="4">
        <v>1</v>
      </c>
      <c r="E97" s="4" t="s">
        <v>50</v>
      </c>
    </row>
    <row r="98" spans="1:5" x14ac:dyDescent="0.3">
      <c r="A98" s="4" t="s">
        <v>226</v>
      </c>
      <c r="B98" s="4" t="s">
        <v>227</v>
      </c>
      <c r="C98" s="4" t="s">
        <v>38</v>
      </c>
      <c r="D98" s="4">
        <v>1</v>
      </c>
      <c r="E98" s="4" t="s">
        <v>39</v>
      </c>
    </row>
    <row r="99" spans="1:5" x14ac:dyDescent="0.3">
      <c r="A99" s="4" t="s">
        <v>2977</v>
      </c>
      <c r="B99" s="4" t="s">
        <v>2978</v>
      </c>
      <c r="C99" s="4" t="s">
        <v>38</v>
      </c>
      <c r="D99" s="4">
        <v>1</v>
      </c>
      <c r="E99" s="4" t="s">
        <v>39</v>
      </c>
    </row>
    <row r="100" spans="1:5" x14ac:dyDescent="0.3">
      <c r="A100" s="4" t="s">
        <v>228</v>
      </c>
      <c r="B100" s="4" t="s">
        <v>2979</v>
      </c>
      <c r="C100" s="4" t="s">
        <v>38</v>
      </c>
      <c r="D100" s="4">
        <v>1</v>
      </c>
      <c r="E100" s="4" t="s">
        <v>39</v>
      </c>
    </row>
    <row r="101" spans="1:5" x14ac:dyDescent="0.3">
      <c r="A101" s="4" t="s">
        <v>229</v>
      </c>
      <c r="B101" s="4" t="s">
        <v>230</v>
      </c>
      <c r="C101" s="4" t="s">
        <v>38</v>
      </c>
      <c r="D101" s="4">
        <v>1</v>
      </c>
      <c r="E101" s="4" t="s">
        <v>39</v>
      </c>
    </row>
    <row r="102" spans="1:5" x14ac:dyDescent="0.3">
      <c r="A102" s="4" t="s">
        <v>231</v>
      </c>
      <c r="B102" s="11" t="s">
        <v>2980</v>
      </c>
      <c r="C102" s="4" t="s">
        <v>38</v>
      </c>
      <c r="D102" s="4">
        <v>1</v>
      </c>
      <c r="E102" s="4" t="s">
        <v>39</v>
      </c>
    </row>
    <row r="103" spans="1:5" x14ac:dyDescent="0.3">
      <c r="A103" s="4" t="s">
        <v>232</v>
      </c>
      <c r="B103" s="4" t="s">
        <v>233</v>
      </c>
      <c r="C103" s="4" t="s">
        <v>38</v>
      </c>
      <c r="D103" s="4">
        <v>1</v>
      </c>
      <c r="E103" s="4" t="s">
        <v>39</v>
      </c>
    </row>
    <row r="104" spans="1:5" x14ac:dyDescent="0.3">
      <c r="A104" s="4" t="s">
        <v>234</v>
      </c>
      <c r="B104" s="4" t="s">
        <v>235</v>
      </c>
      <c r="C104" s="4" t="s">
        <v>38</v>
      </c>
      <c r="D104" s="4">
        <v>1</v>
      </c>
      <c r="E104" s="4" t="s">
        <v>39</v>
      </c>
    </row>
    <row r="105" spans="1:5" x14ac:dyDescent="0.3">
      <c r="A105" s="4" t="s">
        <v>236</v>
      </c>
      <c r="B105" s="4" t="s">
        <v>237</v>
      </c>
      <c r="C105" s="4" t="s">
        <v>38</v>
      </c>
      <c r="D105" s="4">
        <v>1</v>
      </c>
      <c r="E105" s="4" t="s">
        <v>39</v>
      </c>
    </row>
    <row r="106" spans="1:5" x14ac:dyDescent="0.3">
      <c r="A106" s="4" t="s">
        <v>238</v>
      </c>
      <c r="B106" s="4" t="s">
        <v>186</v>
      </c>
      <c r="C106" s="4" t="s">
        <v>38</v>
      </c>
      <c r="D106" s="4">
        <v>1</v>
      </c>
      <c r="E106" s="4" t="s">
        <v>187</v>
      </c>
    </row>
    <row r="107" spans="1:5" x14ac:dyDescent="0.3">
      <c r="A107" s="4" t="s">
        <v>239</v>
      </c>
      <c r="B107" s="4" t="s">
        <v>240</v>
      </c>
      <c r="C107" s="4" t="s">
        <v>38</v>
      </c>
      <c r="D107" s="4">
        <v>1</v>
      </c>
      <c r="E107" s="4" t="s">
        <v>39</v>
      </c>
    </row>
    <row r="108" spans="1:5" x14ac:dyDescent="0.3">
      <c r="A108" s="4" t="s">
        <v>241</v>
      </c>
      <c r="B108" s="4" t="s">
        <v>242</v>
      </c>
      <c r="C108" s="4" t="s">
        <v>45</v>
      </c>
      <c r="D108" s="4">
        <v>1</v>
      </c>
      <c r="E108" s="4" t="s">
        <v>39</v>
      </c>
    </row>
    <row r="109" spans="1:5" x14ac:dyDescent="0.3">
      <c r="A109" s="4" t="s">
        <v>243</v>
      </c>
      <c r="B109" s="4" t="s">
        <v>244</v>
      </c>
      <c r="C109" s="4" t="s">
        <v>38</v>
      </c>
      <c r="D109" s="4">
        <v>1</v>
      </c>
      <c r="E109" s="4" t="s">
        <v>39</v>
      </c>
    </row>
    <row r="110" spans="1:5" x14ac:dyDescent="0.3">
      <c r="A110" s="4" t="s">
        <v>245</v>
      </c>
      <c r="B110" s="4" t="s">
        <v>246</v>
      </c>
      <c r="C110" s="4" t="s">
        <v>38</v>
      </c>
      <c r="D110" s="4">
        <v>1</v>
      </c>
      <c r="E110" s="4" t="s">
        <v>39</v>
      </c>
    </row>
    <row r="111" spans="1:5" x14ac:dyDescent="0.3">
      <c r="A111" s="4" t="s">
        <v>247</v>
      </c>
      <c r="B111" s="4" t="s">
        <v>248</v>
      </c>
      <c r="C111" s="4" t="s">
        <v>38</v>
      </c>
      <c r="D111" s="4">
        <v>1</v>
      </c>
      <c r="E111" s="4" t="s">
        <v>39</v>
      </c>
    </row>
    <row r="112" spans="1:5" x14ac:dyDescent="0.3">
      <c r="A112" s="4" t="s">
        <v>249</v>
      </c>
      <c r="B112" s="4" t="s">
        <v>250</v>
      </c>
      <c r="C112" s="4" t="s">
        <v>45</v>
      </c>
      <c r="D112" s="4">
        <v>1</v>
      </c>
      <c r="E112" s="4" t="s">
        <v>39</v>
      </c>
    </row>
    <row r="113" spans="1:5" x14ac:dyDescent="0.3">
      <c r="A113" s="4" t="s">
        <v>251</v>
      </c>
      <c r="B113" s="4" t="s">
        <v>252</v>
      </c>
      <c r="C113" s="4" t="s">
        <v>45</v>
      </c>
      <c r="D113" s="4">
        <v>1</v>
      </c>
      <c r="E113" s="4" t="s">
        <v>39</v>
      </c>
    </row>
    <row r="114" spans="1:5" x14ac:dyDescent="0.3">
      <c r="A114" s="4" t="s">
        <v>253</v>
      </c>
      <c r="B114" s="4" t="s">
        <v>254</v>
      </c>
      <c r="C114" s="4" t="s">
        <v>38</v>
      </c>
      <c r="D114" s="4">
        <v>1</v>
      </c>
      <c r="E114" s="4" t="s">
        <v>39</v>
      </c>
    </row>
    <row r="115" spans="1:5" x14ac:dyDescent="0.3">
      <c r="A115" s="4" t="s">
        <v>255</v>
      </c>
      <c r="B115" s="4" t="s">
        <v>256</v>
      </c>
      <c r="C115" s="4" t="s">
        <v>38</v>
      </c>
      <c r="D115" s="4">
        <v>1</v>
      </c>
      <c r="E115" s="4" t="s">
        <v>39</v>
      </c>
    </row>
    <row r="116" spans="1:5" x14ac:dyDescent="0.3">
      <c r="A116" s="4" t="s">
        <v>257</v>
      </c>
      <c r="B116" s="4" t="s">
        <v>258</v>
      </c>
      <c r="C116" s="4" t="s">
        <v>38</v>
      </c>
      <c r="D116" s="4">
        <v>1</v>
      </c>
      <c r="E116" s="4" t="s">
        <v>39</v>
      </c>
    </row>
    <row r="117" spans="1:5" x14ac:dyDescent="0.3">
      <c r="A117" s="4" t="s">
        <v>259</v>
      </c>
      <c r="B117" s="4" t="s">
        <v>260</v>
      </c>
      <c r="C117" s="4" t="s">
        <v>38</v>
      </c>
      <c r="D117" s="4">
        <v>1</v>
      </c>
      <c r="E117" s="4" t="s">
        <v>39</v>
      </c>
    </row>
    <row r="118" spans="1:5" x14ac:dyDescent="0.3">
      <c r="A118" s="4" t="s">
        <v>261</v>
      </c>
      <c r="B118" s="4" t="s">
        <v>2981</v>
      </c>
      <c r="C118" s="4" t="s">
        <v>38</v>
      </c>
      <c r="D118" s="4">
        <v>1</v>
      </c>
      <c r="E118" s="4" t="s">
        <v>39</v>
      </c>
    </row>
    <row r="119" spans="1:5" x14ac:dyDescent="0.3">
      <c r="A119" s="4" t="s">
        <v>262</v>
      </c>
      <c r="B119" s="4" t="s">
        <v>263</v>
      </c>
      <c r="C119" s="4" t="s">
        <v>38</v>
      </c>
      <c r="D119" s="4">
        <v>1</v>
      </c>
      <c r="E119" s="4" t="s">
        <v>39</v>
      </c>
    </row>
    <row r="120" spans="1:5" x14ac:dyDescent="0.3">
      <c r="A120" s="4" t="s">
        <v>3125</v>
      </c>
      <c r="B120" s="4" t="s">
        <v>3133</v>
      </c>
      <c r="C120" s="4">
        <v>330</v>
      </c>
      <c r="D120" s="4">
        <v>1</v>
      </c>
      <c r="E120" s="4" t="s">
        <v>39</v>
      </c>
    </row>
    <row r="121" spans="1:5" x14ac:dyDescent="0.3">
      <c r="A121" s="4" t="s">
        <v>2982</v>
      </c>
      <c r="B121" s="4" t="s">
        <v>2983</v>
      </c>
      <c r="C121" s="4" t="s">
        <v>38</v>
      </c>
      <c r="D121" s="4">
        <v>1</v>
      </c>
      <c r="E121" s="4" t="s">
        <v>39</v>
      </c>
    </row>
    <row r="122" spans="1:5" x14ac:dyDescent="0.3">
      <c r="A122" s="4" t="s">
        <v>264</v>
      </c>
      <c r="B122" s="4" t="s">
        <v>265</v>
      </c>
      <c r="C122" s="4" t="s">
        <v>38</v>
      </c>
      <c r="D122" s="4">
        <v>1</v>
      </c>
      <c r="E122" s="4" t="s">
        <v>39</v>
      </c>
    </row>
    <row r="123" spans="1:5" x14ac:dyDescent="0.3">
      <c r="A123" s="4" t="s">
        <v>266</v>
      </c>
      <c r="B123" s="4" t="s">
        <v>267</v>
      </c>
      <c r="C123" s="4" t="s">
        <v>38</v>
      </c>
      <c r="D123" s="4">
        <v>1</v>
      </c>
      <c r="E123" s="4" t="s">
        <v>39</v>
      </c>
    </row>
    <row r="124" spans="1:5" x14ac:dyDescent="0.3">
      <c r="A124" s="4" t="s">
        <v>268</v>
      </c>
      <c r="B124" s="4" t="s">
        <v>269</v>
      </c>
      <c r="C124" s="4" t="s">
        <v>38</v>
      </c>
      <c r="D124" s="4">
        <v>1</v>
      </c>
      <c r="E124" s="4" t="s">
        <v>50</v>
      </c>
    </row>
    <row r="125" spans="1:5" x14ac:dyDescent="0.3">
      <c r="A125" s="4" t="s">
        <v>270</v>
      </c>
      <c r="B125" s="4" t="s">
        <v>2984</v>
      </c>
      <c r="C125" s="4" t="s">
        <v>53</v>
      </c>
      <c r="D125" s="4">
        <v>1</v>
      </c>
      <c r="E125" s="4" t="s">
        <v>50</v>
      </c>
    </row>
    <row r="126" spans="1:5" x14ac:dyDescent="0.3">
      <c r="A126" s="4" t="s">
        <v>271</v>
      </c>
      <c r="B126" s="4" t="s">
        <v>272</v>
      </c>
      <c r="C126" s="4" t="s">
        <v>38</v>
      </c>
      <c r="D126" s="4">
        <v>1</v>
      </c>
      <c r="E126" s="4" t="s">
        <v>39</v>
      </c>
    </row>
    <row r="127" spans="1:5" x14ac:dyDescent="0.3">
      <c r="A127" s="4" t="s">
        <v>273</v>
      </c>
      <c r="B127" s="4" t="s">
        <v>274</v>
      </c>
      <c r="C127" s="4" t="s">
        <v>38</v>
      </c>
      <c r="D127" s="4">
        <v>1</v>
      </c>
      <c r="E127" s="4" t="s">
        <v>39</v>
      </c>
    </row>
    <row r="128" spans="1:5" x14ac:dyDescent="0.3">
      <c r="A128" s="4" t="s">
        <v>275</v>
      </c>
      <c r="B128" s="4" t="s">
        <v>276</v>
      </c>
      <c r="C128" s="4" t="s">
        <v>38</v>
      </c>
      <c r="D128" s="4">
        <v>1</v>
      </c>
      <c r="E128" s="4" t="s">
        <v>39</v>
      </c>
    </row>
    <row r="129" spans="1:5" x14ac:dyDescent="0.3">
      <c r="A129" s="4" t="s">
        <v>277</v>
      </c>
      <c r="B129" s="4" t="s">
        <v>278</v>
      </c>
      <c r="C129" s="4" t="s">
        <v>38</v>
      </c>
      <c r="D129" s="4">
        <v>1</v>
      </c>
      <c r="E129" s="4" t="s">
        <v>39</v>
      </c>
    </row>
    <row r="130" spans="1:5" x14ac:dyDescent="0.3">
      <c r="A130" s="4" t="s">
        <v>279</v>
      </c>
      <c r="B130" s="4" t="s">
        <v>280</v>
      </c>
      <c r="C130" s="4" t="s">
        <v>38</v>
      </c>
      <c r="D130" s="4">
        <v>1</v>
      </c>
      <c r="E130" s="4" t="s">
        <v>39</v>
      </c>
    </row>
    <row r="131" spans="1:5" x14ac:dyDescent="0.3">
      <c r="A131" s="4" t="s">
        <v>281</v>
      </c>
      <c r="B131" s="4" t="s">
        <v>282</v>
      </c>
      <c r="C131" s="4" t="s">
        <v>38</v>
      </c>
      <c r="D131" s="4">
        <v>1</v>
      </c>
      <c r="E131" s="4" t="s">
        <v>50</v>
      </c>
    </row>
    <row r="132" spans="1:5" x14ac:dyDescent="0.3">
      <c r="A132" s="4" t="s">
        <v>283</v>
      </c>
      <c r="B132" s="4" t="s">
        <v>284</v>
      </c>
      <c r="C132" s="4" t="s">
        <v>155</v>
      </c>
      <c r="D132" s="4">
        <v>1</v>
      </c>
      <c r="E132" s="4" t="s">
        <v>50</v>
      </c>
    </row>
    <row r="133" spans="1:5" x14ac:dyDescent="0.3">
      <c r="A133" s="4" t="s">
        <v>285</v>
      </c>
      <c r="B133" s="4" t="s">
        <v>2985</v>
      </c>
      <c r="C133" s="4" t="s">
        <v>53</v>
      </c>
      <c r="D133" s="4">
        <v>1</v>
      </c>
      <c r="E133" s="4" t="s">
        <v>50</v>
      </c>
    </row>
    <row r="134" spans="1:5" x14ac:dyDescent="0.3">
      <c r="A134" s="4" t="s">
        <v>286</v>
      </c>
      <c r="B134" s="4" t="s">
        <v>287</v>
      </c>
      <c r="C134" s="4" t="s">
        <v>38</v>
      </c>
      <c r="D134" s="4">
        <v>1</v>
      </c>
      <c r="E134" s="4" t="s">
        <v>39</v>
      </c>
    </row>
    <row r="135" spans="1:5" x14ac:dyDescent="0.3">
      <c r="A135" s="4" t="s">
        <v>2986</v>
      </c>
      <c r="B135" s="4" t="s">
        <v>2987</v>
      </c>
      <c r="C135" s="4" t="s">
        <v>38</v>
      </c>
      <c r="D135" s="4">
        <v>1</v>
      </c>
      <c r="E135" s="4" t="s">
        <v>39</v>
      </c>
    </row>
    <row r="136" spans="1:5" x14ac:dyDescent="0.3">
      <c r="A136" s="4" t="s">
        <v>288</v>
      </c>
      <c r="B136" s="4" t="s">
        <v>289</v>
      </c>
      <c r="C136" s="4" t="s">
        <v>38</v>
      </c>
      <c r="D136" s="4">
        <v>1</v>
      </c>
      <c r="E136" s="4" t="s">
        <v>50</v>
      </c>
    </row>
    <row r="137" spans="1:5" x14ac:dyDescent="0.3">
      <c r="A137" s="4" t="s">
        <v>290</v>
      </c>
      <c r="B137" s="4" t="s">
        <v>2988</v>
      </c>
      <c r="C137" s="4" t="s">
        <v>53</v>
      </c>
      <c r="D137" s="4">
        <v>1</v>
      </c>
      <c r="E137" s="4" t="s">
        <v>50</v>
      </c>
    </row>
    <row r="138" spans="1:5" x14ac:dyDescent="0.3">
      <c r="A138" s="4" t="s">
        <v>291</v>
      </c>
      <c r="B138" s="4" t="s">
        <v>292</v>
      </c>
      <c r="C138" s="4" t="s">
        <v>38</v>
      </c>
      <c r="D138" s="4">
        <v>1</v>
      </c>
      <c r="E138" s="4" t="s">
        <v>50</v>
      </c>
    </row>
    <row r="139" spans="1:5" x14ac:dyDescent="0.3">
      <c r="A139" s="4" t="s">
        <v>293</v>
      </c>
      <c r="B139" s="4" t="s">
        <v>2989</v>
      </c>
      <c r="C139" s="4" t="s">
        <v>53</v>
      </c>
      <c r="D139" s="4">
        <v>1</v>
      </c>
      <c r="E139" s="4" t="s">
        <v>50</v>
      </c>
    </row>
    <row r="140" spans="1:5" x14ac:dyDescent="0.3">
      <c r="A140" s="4" t="s">
        <v>294</v>
      </c>
      <c r="B140" s="4" t="s">
        <v>295</v>
      </c>
      <c r="C140" s="4" t="s">
        <v>38</v>
      </c>
      <c r="D140" s="4">
        <v>1</v>
      </c>
      <c r="E140" s="4" t="s">
        <v>39</v>
      </c>
    </row>
    <row r="141" spans="1:5" x14ac:dyDescent="0.3">
      <c r="A141" s="4" t="s">
        <v>296</v>
      </c>
      <c r="B141" s="4" t="s">
        <v>297</v>
      </c>
      <c r="C141" s="4" t="s">
        <v>38</v>
      </c>
      <c r="D141" s="4">
        <v>1</v>
      </c>
      <c r="E141" s="4" t="s">
        <v>39</v>
      </c>
    </row>
    <row r="142" spans="1:5" x14ac:dyDescent="0.3">
      <c r="A142" s="4" t="s">
        <v>298</v>
      </c>
      <c r="B142" s="4" t="s">
        <v>2990</v>
      </c>
      <c r="C142" s="4" t="s">
        <v>38</v>
      </c>
      <c r="D142" s="4">
        <v>1</v>
      </c>
      <c r="E142" s="4" t="s">
        <v>50</v>
      </c>
    </row>
    <row r="143" spans="1:5" x14ac:dyDescent="0.3">
      <c r="A143" s="4" t="s">
        <v>299</v>
      </c>
      <c r="B143" s="4" t="s">
        <v>2991</v>
      </c>
      <c r="C143" s="4" t="s">
        <v>53</v>
      </c>
      <c r="D143" s="4">
        <v>1</v>
      </c>
      <c r="E143" s="4" t="s">
        <v>50</v>
      </c>
    </row>
    <row r="144" spans="1:5" x14ac:dyDescent="0.3">
      <c r="A144" s="4" t="s">
        <v>300</v>
      </c>
      <c r="B144" s="4" t="s">
        <v>301</v>
      </c>
      <c r="C144" s="4" t="s">
        <v>38</v>
      </c>
      <c r="D144" s="4">
        <v>1</v>
      </c>
      <c r="E144" s="4" t="s">
        <v>39</v>
      </c>
    </row>
    <row r="145" spans="1:5" x14ac:dyDescent="0.3">
      <c r="A145" s="4" t="s">
        <v>302</v>
      </c>
      <c r="B145" s="4" t="s">
        <v>303</v>
      </c>
      <c r="C145" s="4" t="s">
        <v>45</v>
      </c>
      <c r="D145" s="4">
        <v>1</v>
      </c>
      <c r="E145" s="4" t="s">
        <v>39</v>
      </c>
    </row>
    <row r="146" spans="1:5" x14ac:dyDescent="0.3">
      <c r="A146" s="4" t="s">
        <v>304</v>
      </c>
      <c r="B146" s="4" t="s">
        <v>2992</v>
      </c>
      <c r="C146" s="4" t="s">
        <v>38</v>
      </c>
      <c r="D146" s="4">
        <v>1</v>
      </c>
      <c r="E146" s="4" t="s">
        <v>39</v>
      </c>
    </row>
    <row r="147" spans="1:5" x14ac:dyDescent="0.3">
      <c r="A147" s="4" t="s">
        <v>305</v>
      </c>
      <c r="B147" s="4" t="s">
        <v>306</v>
      </c>
      <c r="C147" s="4" t="s">
        <v>38</v>
      </c>
      <c r="D147" s="4">
        <v>1</v>
      </c>
      <c r="E147" s="4" t="s">
        <v>39</v>
      </c>
    </row>
    <row r="148" spans="1:5" x14ac:dyDescent="0.3">
      <c r="A148" s="4" t="s">
        <v>307</v>
      </c>
      <c r="B148" s="4" t="s">
        <v>308</v>
      </c>
      <c r="C148" s="4" t="s">
        <v>38</v>
      </c>
      <c r="D148" s="4">
        <v>1</v>
      </c>
      <c r="E148" s="4" t="s">
        <v>39</v>
      </c>
    </row>
    <row r="149" spans="1:5" x14ac:dyDescent="0.3">
      <c r="A149" s="4" t="s">
        <v>309</v>
      </c>
      <c r="B149" s="4" t="s">
        <v>310</v>
      </c>
      <c r="C149" s="4" t="s">
        <v>38</v>
      </c>
      <c r="D149" s="4">
        <v>1</v>
      </c>
      <c r="E149" s="4" t="s">
        <v>39</v>
      </c>
    </row>
    <row r="150" spans="1:5" x14ac:dyDescent="0.3">
      <c r="A150" s="4" t="s">
        <v>311</v>
      </c>
      <c r="B150" s="4" t="s">
        <v>312</v>
      </c>
      <c r="C150" s="4" t="s">
        <v>45</v>
      </c>
      <c r="D150" s="4">
        <v>1</v>
      </c>
      <c r="E150" s="4" t="s">
        <v>39</v>
      </c>
    </row>
    <row r="151" spans="1:5" x14ac:dyDescent="0.3">
      <c r="A151" s="4" t="s">
        <v>313</v>
      </c>
      <c r="B151" s="4" t="s">
        <v>314</v>
      </c>
      <c r="C151" s="4" t="s">
        <v>38</v>
      </c>
      <c r="D151" s="4">
        <v>1</v>
      </c>
      <c r="E151" s="4" t="s">
        <v>39</v>
      </c>
    </row>
    <row r="152" spans="1:5" x14ac:dyDescent="0.3">
      <c r="A152" s="4" t="s">
        <v>315</v>
      </c>
      <c r="B152" s="4" t="s">
        <v>316</v>
      </c>
      <c r="C152" s="4" t="s">
        <v>38</v>
      </c>
      <c r="D152" s="4">
        <v>1</v>
      </c>
      <c r="E152" s="4" t="s">
        <v>39</v>
      </c>
    </row>
    <row r="153" spans="1:5" x14ac:dyDescent="0.3">
      <c r="A153" s="4" t="s">
        <v>317</v>
      </c>
      <c r="B153" s="4" t="s">
        <v>318</v>
      </c>
      <c r="C153" s="4" t="s">
        <v>38</v>
      </c>
      <c r="D153" s="4">
        <v>1</v>
      </c>
      <c r="E153" s="4" t="s">
        <v>39</v>
      </c>
    </row>
    <row r="154" spans="1:5" x14ac:dyDescent="0.3">
      <c r="A154" s="4" t="s">
        <v>319</v>
      </c>
      <c r="B154" s="4" t="s">
        <v>320</v>
      </c>
      <c r="C154" s="4" t="s">
        <v>38</v>
      </c>
      <c r="D154" s="4">
        <v>1</v>
      </c>
      <c r="E154" s="4" t="s">
        <v>39</v>
      </c>
    </row>
    <row r="155" spans="1:5" x14ac:dyDescent="0.3">
      <c r="A155" s="4" t="s">
        <v>321</v>
      </c>
      <c r="B155" s="4" t="s">
        <v>322</v>
      </c>
      <c r="C155" s="4" t="s">
        <v>38</v>
      </c>
      <c r="D155" s="4">
        <v>1</v>
      </c>
      <c r="E155" s="4" t="s">
        <v>39</v>
      </c>
    </row>
    <row r="156" spans="1:5" x14ac:dyDescent="0.3">
      <c r="A156" s="4" t="s">
        <v>323</v>
      </c>
      <c r="B156" s="4" t="s">
        <v>324</v>
      </c>
      <c r="C156" s="4" t="s">
        <v>38</v>
      </c>
      <c r="D156" s="4">
        <v>1</v>
      </c>
      <c r="E156" s="4" t="s">
        <v>39</v>
      </c>
    </row>
    <row r="157" spans="1:5" x14ac:dyDescent="0.3">
      <c r="A157" s="4" t="s">
        <v>325</v>
      </c>
      <c r="B157" s="4" t="s">
        <v>326</v>
      </c>
      <c r="C157" s="4" t="s">
        <v>38</v>
      </c>
      <c r="D157" s="4">
        <v>1</v>
      </c>
      <c r="E157" s="4" t="s">
        <v>39</v>
      </c>
    </row>
    <row r="158" spans="1:5" x14ac:dyDescent="0.3">
      <c r="A158" s="4" t="s">
        <v>327</v>
      </c>
      <c r="B158" s="4" t="s">
        <v>2993</v>
      </c>
      <c r="C158" s="4" t="s">
        <v>38</v>
      </c>
      <c r="D158" s="4">
        <v>1</v>
      </c>
      <c r="E158" s="4" t="s">
        <v>39</v>
      </c>
    </row>
    <row r="159" spans="1:5" x14ac:dyDescent="0.3">
      <c r="A159" s="4" t="s">
        <v>328</v>
      </c>
      <c r="B159" s="4" t="s">
        <v>329</v>
      </c>
      <c r="C159" s="4" t="s">
        <v>38</v>
      </c>
      <c r="D159" s="4">
        <v>1</v>
      </c>
      <c r="E159" s="4" t="s">
        <v>39</v>
      </c>
    </row>
    <row r="160" spans="1:5" x14ac:dyDescent="0.3">
      <c r="A160" s="4" t="s">
        <v>330</v>
      </c>
      <c r="B160" s="4" t="s">
        <v>331</v>
      </c>
      <c r="C160" s="4" t="s">
        <v>38</v>
      </c>
      <c r="D160" s="4">
        <v>1</v>
      </c>
      <c r="E160" s="4" t="s">
        <v>39</v>
      </c>
    </row>
    <row r="161" spans="1:5" x14ac:dyDescent="0.3">
      <c r="A161" s="4" t="s">
        <v>332</v>
      </c>
      <c r="B161" s="4" t="s">
        <v>2994</v>
      </c>
      <c r="C161" s="4" t="s">
        <v>38</v>
      </c>
      <c r="D161" s="4">
        <v>1</v>
      </c>
      <c r="E161" s="4" t="s">
        <v>39</v>
      </c>
    </row>
    <row r="162" spans="1:5" x14ac:dyDescent="0.3">
      <c r="A162" s="4" t="s">
        <v>333</v>
      </c>
      <c r="B162" s="4" t="s">
        <v>334</v>
      </c>
      <c r="C162" s="4" t="s">
        <v>38</v>
      </c>
      <c r="D162" s="4">
        <v>1</v>
      </c>
      <c r="E162" s="4" t="s">
        <v>39</v>
      </c>
    </row>
    <row r="163" spans="1:5" x14ac:dyDescent="0.3">
      <c r="A163" s="4" t="s">
        <v>335</v>
      </c>
      <c r="B163" s="4" t="s">
        <v>336</v>
      </c>
      <c r="C163" s="4" t="s">
        <v>38</v>
      </c>
      <c r="D163" s="4">
        <v>1</v>
      </c>
      <c r="E163" s="4" t="s">
        <v>39</v>
      </c>
    </row>
    <row r="164" spans="1:5" x14ac:dyDescent="0.3">
      <c r="A164" s="4" t="s">
        <v>337</v>
      </c>
      <c r="B164" s="4" t="s">
        <v>186</v>
      </c>
      <c r="C164" s="4" t="s">
        <v>38</v>
      </c>
      <c r="D164" s="4">
        <v>1</v>
      </c>
      <c r="E164" s="4" t="s">
        <v>39</v>
      </c>
    </row>
    <row r="165" spans="1:5" x14ac:dyDescent="0.3">
      <c r="A165" s="4" t="s">
        <v>338</v>
      </c>
      <c r="B165" s="4" t="s">
        <v>339</v>
      </c>
      <c r="C165" s="4" t="s">
        <v>38</v>
      </c>
      <c r="D165" s="4">
        <v>1</v>
      </c>
      <c r="E165" s="4" t="s">
        <v>39</v>
      </c>
    </row>
    <row r="166" spans="1:5" x14ac:dyDescent="0.3">
      <c r="A166" s="4" t="s">
        <v>340</v>
      </c>
      <c r="B166" s="4" t="s">
        <v>341</v>
      </c>
      <c r="C166" s="4" t="s">
        <v>38</v>
      </c>
      <c r="D166" s="4">
        <v>1</v>
      </c>
      <c r="E166" s="4" t="s">
        <v>39</v>
      </c>
    </row>
    <row r="167" spans="1:5" x14ac:dyDescent="0.3">
      <c r="A167" s="4" t="s">
        <v>342</v>
      </c>
      <c r="B167" s="4" t="s">
        <v>343</v>
      </c>
      <c r="C167" s="4" t="s">
        <v>38</v>
      </c>
      <c r="D167" s="4">
        <v>1</v>
      </c>
      <c r="E167" s="4" t="s">
        <v>50</v>
      </c>
    </row>
    <row r="168" spans="1:5" x14ac:dyDescent="0.3">
      <c r="A168" s="4" t="s">
        <v>344</v>
      </c>
      <c r="B168" s="4" t="s">
        <v>2995</v>
      </c>
      <c r="C168" s="4" t="s">
        <v>53</v>
      </c>
      <c r="D168" s="4">
        <v>1</v>
      </c>
      <c r="E168" s="4" t="s">
        <v>50</v>
      </c>
    </row>
    <row r="169" spans="1:5" x14ac:dyDescent="0.3">
      <c r="A169" s="4" t="s">
        <v>345</v>
      </c>
      <c r="B169" s="4" t="s">
        <v>2996</v>
      </c>
      <c r="C169" s="4" t="s">
        <v>38</v>
      </c>
      <c r="D169" s="4">
        <v>1</v>
      </c>
      <c r="E169" s="4" t="s">
        <v>39</v>
      </c>
    </row>
    <row r="170" spans="1:5" x14ac:dyDescent="0.3">
      <c r="A170" s="4" t="s">
        <v>346</v>
      </c>
      <c r="B170" s="4" t="s">
        <v>347</v>
      </c>
      <c r="C170" s="4" t="s">
        <v>38</v>
      </c>
      <c r="D170" s="4">
        <v>1</v>
      </c>
      <c r="E170" s="4" t="s">
        <v>39</v>
      </c>
    </row>
    <row r="171" spans="1:5" x14ac:dyDescent="0.3">
      <c r="A171" s="4" t="s">
        <v>348</v>
      </c>
      <c r="B171" s="4" t="s">
        <v>2997</v>
      </c>
      <c r="C171" s="4" t="s">
        <v>38</v>
      </c>
      <c r="D171" s="4">
        <v>1</v>
      </c>
      <c r="E171" s="4" t="s">
        <v>39</v>
      </c>
    </row>
    <row r="172" spans="1:5" x14ac:dyDescent="0.3">
      <c r="A172" s="4" t="s">
        <v>349</v>
      </c>
      <c r="B172" s="4" t="s">
        <v>350</v>
      </c>
      <c r="C172" s="4" t="s">
        <v>38</v>
      </c>
      <c r="D172" s="4">
        <v>1</v>
      </c>
      <c r="E172" s="4" t="s">
        <v>50</v>
      </c>
    </row>
    <row r="173" spans="1:5" x14ac:dyDescent="0.3">
      <c r="A173" s="11" t="s">
        <v>351</v>
      </c>
      <c r="B173" s="11" t="s">
        <v>352</v>
      </c>
      <c r="C173" s="11" t="s">
        <v>38</v>
      </c>
      <c r="D173" s="11">
        <v>1</v>
      </c>
      <c r="E173" s="11" t="s">
        <v>50</v>
      </c>
    </row>
    <row r="174" spans="1:5" x14ac:dyDescent="0.3">
      <c r="A174" s="4" t="s">
        <v>353</v>
      </c>
      <c r="B174" s="4" t="s">
        <v>354</v>
      </c>
      <c r="C174" s="4" t="s">
        <v>38</v>
      </c>
      <c r="D174" s="4">
        <v>1</v>
      </c>
      <c r="E174" s="4" t="s">
        <v>39</v>
      </c>
    </row>
    <row r="175" spans="1:5" x14ac:dyDescent="0.3">
      <c r="A175" s="4" t="s">
        <v>355</v>
      </c>
      <c r="B175" s="4" t="s">
        <v>356</v>
      </c>
      <c r="C175" s="4" t="s">
        <v>38</v>
      </c>
      <c r="D175" s="4">
        <v>1</v>
      </c>
      <c r="E175" s="4" t="s">
        <v>50</v>
      </c>
    </row>
    <row r="176" spans="1:5" x14ac:dyDescent="0.3">
      <c r="A176" s="4" t="s">
        <v>357</v>
      </c>
      <c r="B176" s="4" t="s">
        <v>2998</v>
      </c>
      <c r="C176" s="4" t="s">
        <v>53</v>
      </c>
      <c r="D176" s="4">
        <v>1</v>
      </c>
      <c r="E176" s="4" t="s">
        <v>50</v>
      </c>
    </row>
    <row r="177" spans="1:5" x14ac:dyDescent="0.3">
      <c r="A177" s="4" t="s">
        <v>358</v>
      </c>
      <c r="B177" s="4" t="s">
        <v>359</v>
      </c>
      <c r="C177" s="4" t="s">
        <v>38</v>
      </c>
      <c r="D177" s="4">
        <v>1</v>
      </c>
      <c r="E177" s="4" t="s">
        <v>39</v>
      </c>
    </row>
    <row r="178" spans="1:5" x14ac:dyDescent="0.3">
      <c r="A178" s="4" t="s">
        <v>360</v>
      </c>
      <c r="B178" s="4" t="s">
        <v>361</v>
      </c>
      <c r="C178" s="4" t="s">
        <v>45</v>
      </c>
      <c r="D178" s="4">
        <v>1</v>
      </c>
      <c r="E178" s="4" t="s">
        <v>39</v>
      </c>
    </row>
    <row r="179" spans="1:5" x14ac:dyDescent="0.3">
      <c r="A179" s="4" t="s">
        <v>362</v>
      </c>
      <c r="B179" s="4" t="s">
        <v>363</v>
      </c>
      <c r="C179" s="4" t="s">
        <v>364</v>
      </c>
      <c r="D179" s="4">
        <v>1</v>
      </c>
      <c r="E179" s="4" t="s">
        <v>39</v>
      </c>
    </row>
    <row r="180" spans="1:5" x14ac:dyDescent="0.3">
      <c r="A180" s="4" t="s">
        <v>365</v>
      </c>
      <c r="B180" s="4" t="s">
        <v>366</v>
      </c>
      <c r="C180" s="4" t="s">
        <v>38</v>
      </c>
      <c r="D180" s="4">
        <v>1</v>
      </c>
      <c r="E180" s="4" t="s">
        <v>39</v>
      </c>
    </row>
    <row r="181" spans="1:5" x14ac:dyDescent="0.3">
      <c r="A181" s="4" t="s">
        <v>367</v>
      </c>
      <c r="B181" s="4" t="s">
        <v>368</v>
      </c>
      <c r="C181" s="4" t="s">
        <v>38</v>
      </c>
      <c r="D181" s="4">
        <v>1</v>
      </c>
      <c r="E181" s="4" t="s">
        <v>50</v>
      </c>
    </row>
    <row r="182" spans="1:5" x14ac:dyDescent="0.3">
      <c r="A182" s="4" t="s">
        <v>369</v>
      </c>
      <c r="B182" s="4" t="s">
        <v>2999</v>
      </c>
      <c r="C182" s="4" t="s">
        <v>53</v>
      </c>
      <c r="D182" s="4">
        <v>1</v>
      </c>
      <c r="E182" s="4" t="s">
        <v>50</v>
      </c>
    </row>
    <row r="183" spans="1:5" x14ac:dyDescent="0.3">
      <c r="A183" s="4" t="s">
        <v>370</v>
      </c>
      <c r="B183" s="4" t="s">
        <v>3000</v>
      </c>
      <c r="C183" s="4" t="s">
        <v>38</v>
      </c>
      <c r="D183" s="4">
        <v>1</v>
      </c>
      <c r="E183" s="4" t="s">
        <v>39</v>
      </c>
    </row>
    <row r="184" spans="1:5" x14ac:dyDescent="0.3">
      <c r="A184" s="4" t="s">
        <v>371</v>
      </c>
      <c r="B184" s="4" t="s">
        <v>3001</v>
      </c>
      <c r="C184" s="4" t="s">
        <v>38</v>
      </c>
      <c r="D184" s="4">
        <v>1</v>
      </c>
      <c r="E184" s="4" t="s">
        <v>50</v>
      </c>
    </row>
    <row r="185" spans="1:5" x14ac:dyDescent="0.3">
      <c r="A185" s="4" t="s">
        <v>372</v>
      </c>
      <c r="B185" s="4" t="s">
        <v>3002</v>
      </c>
      <c r="C185" s="4" t="s">
        <v>53</v>
      </c>
      <c r="D185" s="4">
        <v>1</v>
      </c>
      <c r="E185" s="4" t="s">
        <v>50</v>
      </c>
    </row>
    <row r="186" spans="1:5" x14ac:dyDescent="0.3">
      <c r="A186" s="4" t="s">
        <v>373</v>
      </c>
      <c r="B186" s="4" t="s">
        <v>374</v>
      </c>
      <c r="C186" s="4" t="s">
        <v>38</v>
      </c>
      <c r="D186" s="4">
        <v>1</v>
      </c>
      <c r="E186" s="4" t="s">
        <v>39</v>
      </c>
    </row>
    <row r="187" spans="1:5" x14ac:dyDescent="0.3">
      <c r="A187" s="4" t="s">
        <v>375</v>
      </c>
      <c r="B187" s="4" t="s">
        <v>376</v>
      </c>
      <c r="C187" s="4" t="s">
        <v>38</v>
      </c>
      <c r="D187" s="4">
        <v>1</v>
      </c>
      <c r="E187" s="4" t="s">
        <v>50</v>
      </c>
    </row>
    <row r="188" spans="1:5" x14ac:dyDescent="0.3">
      <c r="A188" s="4" t="s">
        <v>377</v>
      </c>
      <c r="B188" s="4" t="s">
        <v>3003</v>
      </c>
      <c r="C188" s="4" t="s">
        <v>53</v>
      </c>
      <c r="D188" s="4">
        <v>1</v>
      </c>
      <c r="E188" s="4" t="s">
        <v>50</v>
      </c>
    </row>
    <row r="189" spans="1:5" x14ac:dyDescent="0.3">
      <c r="A189" s="4" t="s">
        <v>378</v>
      </c>
      <c r="B189" s="4" t="s">
        <v>379</v>
      </c>
      <c r="C189" s="4" t="s">
        <v>38</v>
      </c>
      <c r="D189" s="4">
        <v>1</v>
      </c>
      <c r="E189" s="4" t="s">
        <v>39</v>
      </c>
    </row>
    <row r="190" spans="1:5" x14ac:dyDescent="0.3">
      <c r="A190" s="4" t="s">
        <v>380</v>
      </c>
      <c r="B190" s="4" t="s">
        <v>381</v>
      </c>
      <c r="C190" s="4" t="s">
        <v>38</v>
      </c>
      <c r="D190" s="4">
        <v>1</v>
      </c>
      <c r="E190" s="4" t="s">
        <v>39</v>
      </c>
    </row>
    <row r="191" spans="1:5" x14ac:dyDescent="0.3">
      <c r="A191" s="4" t="s">
        <v>382</v>
      </c>
      <c r="B191" s="4" t="s">
        <v>383</v>
      </c>
      <c r="C191" s="4" t="s">
        <v>45</v>
      </c>
      <c r="D191" s="4">
        <v>1</v>
      </c>
      <c r="E191" s="4" t="s">
        <v>39</v>
      </c>
    </row>
    <row r="192" spans="1:5" x14ac:dyDescent="0.3">
      <c r="A192" s="4" t="s">
        <v>384</v>
      </c>
      <c r="B192" s="4" t="s">
        <v>385</v>
      </c>
      <c r="C192" s="4" t="s">
        <v>38</v>
      </c>
      <c r="D192" s="4">
        <v>1</v>
      </c>
      <c r="E192" s="4" t="s">
        <v>50</v>
      </c>
    </row>
    <row r="193" spans="1:5" x14ac:dyDescent="0.3">
      <c r="A193" s="4" t="s">
        <v>386</v>
      </c>
      <c r="B193" s="4" t="s">
        <v>3004</v>
      </c>
      <c r="C193" s="4" t="s">
        <v>53</v>
      </c>
      <c r="D193" s="4">
        <v>1</v>
      </c>
      <c r="E193" s="4" t="s">
        <v>50</v>
      </c>
    </row>
    <row r="194" spans="1:5" x14ac:dyDescent="0.3">
      <c r="A194" s="4" t="s">
        <v>387</v>
      </c>
      <c r="B194" s="4" t="s">
        <v>388</v>
      </c>
      <c r="C194" s="4" t="s">
        <v>38</v>
      </c>
      <c r="D194" s="4">
        <v>1</v>
      </c>
      <c r="E194" s="4" t="s">
        <v>39</v>
      </c>
    </row>
    <row r="195" spans="1:5" x14ac:dyDescent="0.3">
      <c r="A195" s="4" t="s">
        <v>389</v>
      </c>
      <c r="B195" s="4" t="s">
        <v>390</v>
      </c>
      <c r="C195" s="4" t="s">
        <v>45</v>
      </c>
      <c r="D195" s="4">
        <v>1</v>
      </c>
      <c r="E195" s="4" t="s">
        <v>39</v>
      </c>
    </row>
    <row r="196" spans="1:5" x14ac:dyDescent="0.3">
      <c r="A196" s="4" t="s">
        <v>391</v>
      </c>
      <c r="B196" s="4" t="s">
        <v>186</v>
      </c>
      <c r="C196" s="4" t="s">
        <v>38</v>
      </c>
      <c r="D196" s="4">
        <v>1</v>
      </c>
      <c r="E196" s="4" t="s">
        <v>39</v>
      </c>
    </row>
    <row r="197" spans="1:5" x14ac:dyDescent="0.3">
      <c r="A197" s="4" t="s">
        <v>392</v>
      </c>
      <c r="B197" s="4" t="s">
        <v>393</v>
      </c>
      <c r="C197" s="4" t="s">
        <v>38</v>
      </c>
      <c r="D197" s="4">
        <v>1</v>
      </c>
      <c r="E197" s="4" t="s">
        <v>39</v>
      </c>
    </row>
    <row r="198" spans="1:5" x14ac:dyDescent="0.3">
      <c r="A198" s="4" t="s">
        <v>394</v>
      </c>
      <c r="B198" s="4" t="s">
        <v>3005</v>
      </c>
      <c r="C198" s="4" t="s">
        <v>38</v>
      </c>
      <c r="D198" s="4">
        <v>1</v>
      </c>
      <c r="E198" s="4" t="s">
        <v>39</v>
      </c>
    </row>
    <row r="199" spans="1:5" x14ac:dyDescent="0.3">
      <c r="A199" s="4" t="s">
        <v>395</v>
      </c>
      <c r="B199" s="4" t="s">
        <v>396</v>
      </c>
      <c r="C199" s="4" t="s">
        <v>38</v>
      </c>
      <c r="D199" s="4">
        <v>1</v>
      </c>
      <c r="E199" s="4" t="s">
        <v>39</v>
      </c>
    </row>
    <row r="200" spans="1:5" x14ac:dyDescent="0.3">
      <c r="A200" s="4" t="s">
        <v>397</v>
      </c>
      <c r="B200" s="4" t="s">
        <v>398</v>
      </c>
      <c r="C200" s="4" t="s">
        <v>38</v>
      </c>
      <c r="D200" s="4">
        <v>1</v>
      </c>
      <c r="E200" s="4" t="s">
        <v>39</v>
      </c>
    </row>
    <row r="201" spans="1:5" x14ac:dyDescent="0.3">
      <c r="A201" s="4" t="s">
        <v>399</v>
      </c>
      <c r="B201" s="4" t="s">
        <v>400</v>
      </c>
      <c r="C201" s="4" t="s">
        <v>38</v>
      </c>
      <c r="D201" s="4">
        <v>1</v>
      </c>
      <c r="E201" s="4" t="s">
        <v>39</v>
      </c>
    </row>
    <row r="202" spans="1:5" x14ac:dyDescent="0.3">
      <c r="A202" s="4" t="s">
        <v>401</v>
      </c>
      <c r="B202" s="4" t="s">
        <v>402</v>
      </c>
      <c r="C202" s="4" t="s">
        <v>45</v>
      </c>
      <c r="D202" s="4">
        <v>1</v>
      </c>
      <c r="E202" s="4" t="s">
        <v>39</v>
      </c>
    </row>
    <row r="203" spans="1:5" x14ac:dyDescent="0.3">
      <c r="A203" s="4" t="s">
        <v>3006</v>
      </c>
      <c r="B203" s="4" t="s">
        <v>3007</v>
      </c>
      <c r="C203" s="4" t="s">
        <v>38</v>
      </c>
      <c r="D203" s="4">
        <v>1</v>
      </c>
      <c r="E203" s="4" t="s">
        <v>39</v>
      </c>
    </row>
    <row r="204" spans="1:5" x14ac:dyDescent="0.3">
      <c r="A204" s="4" t="s">
        <v>403</v>
      </c>
      <c r="B204" s="4" t="s">
        <v>404</v>
      </c>
      <c r="C204" s="4" t="s">
        <v>38</v>
      </c>
      <c r="D204" s="4">
        <v>1</v>
      </c>
      <c r="E204" s="4" t="s">
        <v>39</v>
      </c>
    </row>
    <row r="205" spans="1:5" x14ac:dyDescent="0.3">
      <c r="A205" s="4" t="s">
        <v>405</v>
      </c>
      <c r="B205" s="4" t="s">
        <v>406</v>
      </c>
      <c r="C205" s="4" t="s">
        <v>45</v>
      </c>
      <c r="D205" s="4">
        <v>1</v>
      </c>
      <c r="E205" s="4" t="s">
        <v>39</v>
      </c>
    </row>
    <row r="206" spans="1:5" x14ac:dyDescent="0.3">
      <c r="A206" s="4" t="s">
        <v>407</v>
      </c>
      <c r="B206" s="4" t="s">
        <v>408</v>
      </c>
      <c r="C206" s="4" t="s">
        <v>38</v>
      </c>
      <c r="D206" s="4">
        <v>1</v>
      </c>
      <c r="E206" s="4" t="s">
        <v>39</v>
      </c>
    </row>
    <row r="207" spans="1:5" x14ac:dyDescent="0.3">
      <c r="A207" s="4" t="s">
        <v>409</v>
      </c>
      <c r="B207" s="4" t="s">
        <v>410</v>
      </c>
      <c r="C207" s="4" t="s">
        <v>38</v>
      </c>
      <c r="D207" s="4">
        <v>1</v>
      </c>
      <c r="E207" s="4" t="s">
        <v>39</v>
      </c>
    </row>
    <row r="208" spans="1:5" x14ac:dyDescent="0.3">
      <c r="A208" s="4" t="s">
        <v>411</v>
      </c>
      <c r="B208" s="4" t="s">
        <v>412</v>
      </c>
      <c r="C208" s="4" t="s">
        <v>38</v>
      </c>
      <c r="D208" s="4">
        <v>1</v>
      </c>
      <c r="E208" s="4" t="s">
        <v>39</v>
      </c>
    </row>
    <row r="209" spans="1:5" x14ac:dyDescent="0.3">
      <c r="A209" s="4" t="s">
        <v>413</v>
      </c>
      <c r="B209" s="4" t="s">
        <v>414</v>
      </c>
      <c r="C209" s="4" t="s">
        <v>38</v>
      </c>
      <c r="D209" s="4">
        <v>1</v>
      </c>
      <c r="E209" s="4" t="s">
        <v>50</v>
      </c>
    </row>
    <row r="210" spans="1:5" x14ac:dyDescent="0.3">
      <c r="A210" s="4" t="s">
        <v>415</v>
      </c>
      <c r="B210" s="4" t="s">
        <v>3008</v>
      </c>
      <c r="C210" s="4" t="s">
        <v>53</v>
      </c>
      <c r="D210" s="4">
        <v>1</v>
      </c>
      <c r="E210" s="4" t="s">
        <v>50</v>
      </c>
    </row>
    <row r="211" spans="1:5" x14ac:dyDescent="0.3">
      <c r="A211" s="4" t="s">
        <v>3009</v>
      </c>
      <c r="B211" s="4" t="s">
        <v>3010</v>
      </c>
      <c r="C211" s="4" t="s">
        <v>38</v>
      </c>
      <c r="D211" s="4">
        <v>1</v>
      </c>
      <c r="E211" s="4" t="s">
        <v>39</v>
      </c>
    </row>
    <row r="212" spans="1:5" x14ac:dyDescent="0.3">
      <c r="A212" s="4" t="s">
        <v>416</v>
      </c>
      <c r="B212" s="4" t="s">
        <v>417</v>
      </c>
      <c r="C212" s="4" t="s">
        <v>38</v>
      </c>
      <c r="D212" s="4">
        <v>1</v>
      </c>
      <c r="E212" s="4" t="s">
        <v>39</v>
      </c>
    </row>
    <row r="213" spans="1:5" x14ac:dyDescent="0.3">
      <c r="A213" s="11" t="s">
        <v>418</v>
      </c>
      <c r="B213" s="11" t="s">
        <v>419</v>
      </c>
      <c r="C213" s="11" t="s">
        <v>45</v>
      </c>
      <c r="D213" s="11">
        <v>1</v>
      </c>
      <c r="E213" s="11" t="s">
        <v>39</v>
      </c>
    </row>
    <row r="214" spans="1:5" x14ac:dyDescent="0.3">
      <c r="A214" s="4" t="s">
        <v>420</v>
      </c>
      <c r="B214" s="4" t="s">
        <v>421</v>
      </c>
      <c r="C214" s="4" t="s">
        <v>38</v>
      </c>
      <c r="D214" s="4">
        <v>1</v>
      </c>
      <c r="E214" s="4" t="s">
        <v>39</v>
      </c>
    </row>
    <row r="215" spans="1:5" x14ac:dyDescent="0.3">
      <c r="A215" s="4" t="s">
        <v>422</v>
      </c>
      <c r="B215" s="4" t="s">
        <v>423</v>
      </c>
      <c r="C215" s="4" t="s">
        <v>38</v>
      </c>
      <c r="D215" s="4">
        <v>1</v>
      </c>
      <c r="E215" s="4" t="s">
        <v>39</v>
      </c>
    </row>
    <row r="216" spans="1:5" x14ac:dyDescent="0.3">
      <c r="A216" s="4" t="s">
        <v>424</v>
      </c>
      <c r="B216" s="4" t="s">
        <v>425</v>
      </c>
      <c r="C216" s="4" t="s">
        <v>38</v>
      </c>
      <c r="D216" s="4">
        <v>1</v>
      </c>
      <c r="E216" s="4" t="s">
        <v>39</v>
      </c>
    </row>
    <row r="217" spans="1:5" x14ac:dyDescent="0.3">
      <c r="A217" s="4" t="s">
        <v>426</v>
      </c>
      <c r="B217" s="4" t="s">
        <v>427</v>
      </c>
      <c r="C217" s="4" t="s">
        <v>45</v>
      </c>
      <c r="D217" s="4">
        <v>1</v>
      </c>
      <c r="E217" s="4" t="s">
        <v>39</v>
      </c>
    </row>
    <row r="218" spans="1:5" x14ac:dyDescent="0.3">
      <c r="A218" s="4" t="s">
        <v>428</v>
      </c>
      <c r="B218" s="4" t="s">
        <v>425</v>
      </c>
      <c r="C218" s="4" t="s">
        <v>38</v>
      </c>
      <c r="D218" s="4">
        <v>1</v>
      </c>
      <c r="E218" s="4" t="s">
        <v>50</v>
      </c>
    </row>
    <row r="219" spans="1:5" x14ac:dyDescent="0.3">
      <c r="A219" s="4" t="s">
        <v>429</v>
      </c>
      <c r="B219" s="4" t="s">
        <v>3011</v>
      </c>
      <c r="C219" s="4" t="s">
        <v>53</v>
      </c>
      <c r="D219" s="4">
        <v>1</v>
      </c>
      <c r="E219" s="4" t="s">
        <v>50</v>
      </c>
    </row>
    <row r="220" spans="1:5" x14ac:dyDescent="0.3">
      <c r="A220" s="4" t="s">
        <v>430</v>
      </c>
      <c r="B220" s="4" t="s">
        <v>431</v>
      </c>
      <c r="C220" s="4" t="s">
        <v>38</v>
      </c>
      <c r="D220" s="4">
        <v>1</v>
      </c>
      <c r="E220" s="4" t="s">
        <v>39</v>
      </c>
    </row>
    <row r="221" spans="1:5" x14ac:dyDescent="0.3">
      <c r="A221" s="11" t="s">
        <v>432</v>
      </c>
      <c r="B221" s="11" t="s">
        <v>433</v>
      </c>
      <c r="C221" s="11" t="s">
        <v>38</v>
      </c>
      <c r="D221" s="11">
        <v>1</v>
      </c>
      <c r="E221" s="11" t="s">
        <v>39</v>
      </c>
    </row>
    <row r="222" spans="1:5" x14ac:dyDescent="0.3">
      <c r="A222" s="4" t="s">
        <v>434</v>
      </c>
      <c r="B222" s="4" t="s">
        <v>435</v>
      </c>
      <c r="C222" s="4" t="s">
        <v>38</v>
      </c>
      <c r="D222" s="4">
        <v>1</v>
      </c>
      <c r="E222" s="4" t="s">
        <v>39</v>
      </c>
    </row>
    <row r="223" spans="1:5" x14ac:dyDescent="0.3">
      <c r="A223" s="4" t="s">
        <v>436</v>
      </c>
      <c r="B223" s="4" t="s">
        <v>437</v>
      </c>
      <c r="C223" s="4" t="s">
        <v>38</v>
      </c>
      <c r="D223" s="4">
        <v>1</v>
      </c>
      <c r="E223" s="4" t="s">
        <v>39</v>
      </c>
    </row>
    <row r="224" spans="1:5" x14ac:dyDescent="0.3">
      <c r="A224" s="4" t="s">
        <v>438</v>
      </c>
      <c r="B224" s="4" t="s">
        <v>439</v>
      </c>
      <c r="C224" s="4" t="s">
        <v>38</v>
      </c>
      <c r="D224" s="4">
        <v>1</v>
      </c>
      <c r="E224" s="4" t="s">
        <v>39</v>
      </c>
    </row>
    <row r="225" spans="1:5" x14ac:dyDescent="0.3">
      <c r="A225" s="4" t="s">
        <v>440</v>
      </c>
      <c r="B225" s="4" t="s">
        <v>3012</v>
      </c>
      <c r="C225" s="4" t="s">
        <v>38</v>
      </c>
      <c r="D225" s="4">
        <v>1</v>
      </c>
      <c r="E225" s="4" t="s">
        <v>39</v>
      </c>
    </row>
    <row r="226" spans="1:5" x14ac:dyDescent="0.3">
      <c r="A226" s="4" t="s">
        <v>441</v>
      </c>
      <c r="B226" s="4" t="s">
        <v>442</v>
      </c>
      <c r="C226" s="4" t="s">
        <v>38</v>
      </c>
      <c r="D226" s="4">
        <v>1</v>
      </c>
      <c r="E226" s="4" t="s">
        <v>39</v>
      </c>
    </row>
    <row r="227" spans="1:5" x14ac:dyDescent="0.3">
      <c r="A227" s="4" t="s">
        <v>443</v>
      </c>
      <c r="B227" s="4" t="s">
        <v>444</v>
      </c>
      <c r="C227" s="4" t="s">
        <v>38</v>
      </c>
      <c r="D227" s="4">
        <v>1</v>
      </c>
      <c r="E227" s="4" t="s">
        <v>50</v>
      </c>
    </row>
    <row r="228" spans="1:5" x14ac:dyDescent="0.3">
      <c r="A228" s="4" t="s">
        <v>445</v>
      </c>
      <c r="B228" s="4" t="s">
        <v>446</v>
      </c>
      <c r="C228" s="4" t="s">
        <v>155</v>
      </c>
      <c r="D228" s="4">
        <v>1</v>
      </c>
      <c r="E228" s="4" t="s">
        <v>50</v>
      </c>
    </row>
    <row r="229" spans="1:5" x14ac:dyDescent="0.3">
      <c r="A229" s="4" t="s">
        <v>447</v>
      </c>
      <c r="B229" s="4" t="s">
        <v>448</v>
      </c>
      <c r="C229" s="4" t="s">
        <v>38</v>
      </c>
      <c r="D229" s="4">
        <v>1</v>
      </c>
      <c r="E229" s="4" t="s">
        <v>39</v>
      </c>
    </row>
    <row r="230" spans="1:5" x14ac:dyDescent="0.3">
      <c r="A230" s="4" t="s">
        <v>449</v>
      </c>
      <c r="B230" s="4" t="s">
        <v>450</v>
      </c>
      <c r="C230" s="4" t="s">
        <v>38</v>
      </c>
      <c r="D230" s="4">
        <v>1</v>
      </c>
      <c r="E230" s="4" t="s">
        <v>39</v>
      </c>
    </row>
    <row r="231" spans="1:5" x14ac:dyDescent="0.3">
      <c r="A231" s="4" t="s">
        <v>451</v>
      </c>
      <c r="B231" s="4" t="s">
        <v>452</v>
      </c>
      <c r="C231" s="4" t="s">
        <v>45</v>
      </c>
      <c r="D231" s="4">
        <v>1</v>
      </c>
      <c r="E231" s="4" t="s">
        <v>39</v>
      </c>
    </row>
    <row r="232" spans="1:5" x14ac:dyDescent="0.3">
      <c r="A232" s="4" t="s">
        <v>3013</v>
      </c>
      <c r="B232" s="4" t="s">
        <v>3014</v>
      </c>
      <c r="C232" s="4">
        <v>110</v>
      </c>
      <c r="D232" s="4">
        <v>1</v>
      </c>
      <c r="E232" s="4" t="s">
        <v>39</v>
      </c>
    </row>
    <row r="233" spans="1:5" x14ac:dyDescent="0.3">
      <c r="A233" s="4" t="s">
        <v>453</v>
      </c>
      <c r="B233" s="4" t="s">
        <v>454</v>
      </c>
      <c r="C233" s="4" t="s">
        <v>38</v>
      </c>
      <c r="D233" s="4">
        <v>1</v>
      </c>
      <c r="E233" s="4" t="s">
        <v>39</v>
      </c>
    </row>
    <row r="234" spans="1:5" x14ac:dyDescent="0.3">
      <c r="A234" s="4" t="s">
        <v>455</v>
      </c>
      <c r="B234" s="4" t="s">
        <v>456</v>
      </c>
      <c r="C234" s="4" t="s">
        <v>38</v>
      </c>
      <c r="D234" s="4">
        <v>1</v>
      </c>
      <c r="E234" s="4" t="s">
        <v>39</v>
      </c>
    </row>
    <row r="235" spans="1:5" x14ac:dyDescent="0.3">
      <c r="A235" s="4" t="s">
        <v>457</v>
      </c>
      <c r="B235" s="4" t="s">
        <v>458</v>
      </c>
      <c r="C235" s="4" t="s">
        <v>38</v>
      </c>
      <c r="D235" s="4">
        <v>1</v>
      </c>
      <c r="E235" s="4" t="s">
        <v>39</v>
      </c>
    </row>
    <row r="236" spans="1:5" x14ac:dyDescent="0.3">
      <c r="A236" s="4" t="s">
        <v>459</v>
      </c>
      <c r="B236" s="4" t="s">
        <v>460</v>
      </c>
      <c r="C236" s="4" t="s">
        <v>38</v>
      </c>
      <c r="D236" s="4">
        <v>1</v>
      </c>
      <c r="E236" s="4" t="s">
        <v>39</v>
      </c>
    </row>
    <row r="237" spans="1:5" x14ac:dyDescent="0.3">
      <c r="A237" s="4" t="s">
        <v>461</v>
      </c>
      <c r="B237" s="4" t="s">
        <v>462</v>
      </c>
      <c r="C237" s="4" t="s">
        <v>45</v>
      </c>
      <c r="D237" s="4">
        <v>1</v>
      </c>
      <c r="E237" s="4" t="s">
        <v>39</v>
      </c>
    </row>
    <row r="238" spans="1:5" x14ac:dyDescent="0.3">
      <c r="A238" s="4" t="s">
        <v>463</v>
      </c>
      <c r="B238" s="4" t="s">
        <v>464</v>
      </c>
      <c r="C238" s="4" t="s">
        <v>45</v>
      </c>
      <c r="D238" s="4">
        <v>1</v>
      </c>
      <c r="E238" s="4" t="s">
        <v>39</v>
      </c>
    </row>
    <row r="239" spans="1:5" x14ac:dyDescent="0.3">
      <c r="A239" s="4" t="s">
        <v>465</v>
      </c>
      <c r="B239" s="4" t="s">
        <v>466</v>
      </c>
      <c r="C239" s="4" t="s">
        <v>38</v>
      </c>
      <c r="D239" s="4">
        <v>1</v>
      </c>
      <c r="E239" s="4" t="s">
        <v>39</v>
      </c>
    </row>
    <row r="240" spans="1:5" x14ac:dyDescent="0.3">
      <c r="A240" s="4" t="s">
        <v>467</v>
      </c>
      <c r="B240" s="4" t="s">
        <v>468</v>
      </c>
      <c r="C240" s="4" t="s">
        <v>38</v>
      </c>
      <c r="D240" s="4">
        <v>1</v>
      </c>
      <c r="E240" s="4" t="s">
        <v>39</v>
      </c>
    </row>
    <row r="241" spans="1:5" x14ac:dyDescent="0.3">
      <c r="A241" s="4" t="s">
        <v>469</v>
      </c>
      <c r="B241" s="4" t="s">
        <v>3015</v>
      </c>
      <c r="C241" s="4" t="s">
        <v>38</v>
      </c>
      <c r="D241" s="4">
        <v>1</v>
      </c>
      <c r="E241" s="4" t="s">
        <v>39</v>
      </c>
    </row>
    <row r="242" spans="1:5" x14ac:dyDescent="0.3">
      <c r="A242" s="4" t="s">
        <v>470</v>
      </c>
      <c r="B242" s="4" t="s">
        <v>471</v>
      </c>
      <c r="C242" s="4" t="s">
        <v>38</v>
      </c>
      <c r="D242" s="4">
        <v>1</v>
      </c>
      <c r="E242" s="4" t="s">
        <v>50</v>
      </c>
    </row>
    <row r="243" spans="1:5" x14ac:dyDescent="0.3">
      <c r="A243" s="4" t="s">
        <v>472</v>
      </c>
      <c r="B243" s="4" t="s">
        <v>473</v>
      </c>
      <c r="C243" s="4" t="s">
        <v>155</v>
      </c>
      <c r="D243" s="4">
        <v>1</v>
      </c>
      <c r="E243" s="4" t="s">
        <v>50</v>
      </c>
    </row>
    <row r="244" spans="1:5" x14ac:dyDescent="0.3">
      <c r="A244" s="4" t="s">
        <v>474</v>
      </c>
      <c r="B244" s="4" t="s">
        <v>475</v>
      </c>
      <c r="C244" s="4" t="s">
        <v>38</v>
      </c>
      <c r="D244" s="4">
        <v>1</v>
      </c>
      <c r="E244" s="4" t="s">
        <v>39</v>
      </c>
    </row>
    <row r="245" spans="1:5" x14ac:dyDescent="0.3">
      <c r="A245" s="4" t="s">
        <v>476</v>
      </c>
      <c r="B245" s="4" t="s">
        <v>3016</v>
      </c>
      <c r="C245" s="4" t="s">
        <v>38</v>
      </c>
      <c r="D245" s="4">
        <v>1</v>
      </c>
      <c r="E245" s="4" t="s">
        <v>39</v>
      </c>
    </row>
    <row r="246" spans="1:5" x14ac:dyDescent="0.3">
      <c r="A246" s="4" t="s">
        <v>477</v>
      </c>
      <c r="B246" s="4" t="s">
        <v>478</v>
      </c>
      <c r="C246" s="4" t="s">
        <v>38</v>
      </c>
      <c r="D246" s="4">
        <v>1</v>
      </c>
      <c r="E246" s="4" t="s">
        <v>39</v>
      </c>
    </row>
    <row r="247" spans="1:5" x14ac:dyDescent="0.3">
      <c r="A247" s="4" t="s">
        <v>479</v>
      </c>
      <c r="B247" s="4" t="s">
        <v>480</v>
      </c>
      <c r="C247" s="4" t="s">
        <v>38</v>
      </c>
      <c r="D247" s="4">
        <v>1</v>
      </c>
      <c r="E247" s="4" t="s">
        <v>39</v>
      </c>
    </row>
    <row r="248" spans="1:5" x14ac:dyDescent="0.3">
      <c r="A248" s="4" t="s">
        <v>481</v>
      </c>
      <c r="B248" s="4" t="s">
        <v>482</v>
      </c>
      <c r="C248" s="4" t="s">
        <v>38</v>
      </c>
      <c r="D248" s="4">
        <v>1</v>
      </c>
      <c r="E248" s="4" t="s">
        <v>39</v>
      </c>
    </row>
    <row r="249" spans="1:5" x14ac:dyDescent="0.3">
      <c r="A249" s="4" t="s">
        <v>483</v>
      </c>
      <c r="B249" s="4" t="s">
        <v>484</v>
      </c>
      <c r="C249" s="4" t="s">
        <v>38</v>
      </c>
      <c r="D249" s="4">
        <v>1</v>
      </c>
      <c r="E249" s="4" t="s">
        <v>39</v>
      </c>
    </row>
    <row r="250" spans="1:5" x14ac:dyDescent="0.3">
      <c r="A250" s="4" t="s">
        <v>485</v>
      </c>
      <c r="B250" s="4" t="s">
        <v>486</v>
      </c>
      <c r="C250" s="4" t="s">
        <v>38</v>
      </c>
      <c r="D250" s="4">
        <v>1</v>
      </c>
      <c r="E250" s="4" t="s">
        <v>39</v>
      </c>
    </row>
    <row r="251" spans="1:5" x14ac:dyDescent="0.3">
      <c r="A251" s="4" t="s">
        <v>487</v>
      </c>
      <c r="B251" s="4" t="s">
        <v>488</v>
      </c>
      <c r="C251" s="4" t="s">
        <v>45</v>
      </c>
      <c r="D251" s="4">
        <v>1</v>
      </c>
      <c r="E251" s="4" t="s">
        <v>39</v>
      </c>
    </row>
    <row r="252" spans="1:5" x14ac:dyDescent="0.3">
      <c r="A252" s="4" t="s">
        <v>489</v>
      </c>
      <c r="B252" s="4" t="s">
        <v>186</v>
      </c>
      <c r="C252" s="4" t="s">
        <v>38</v>
      </c>
      <c r="D252" s="4">
        <v>1</v>
      </c>
      <c r="E252" s="4" t="s">
        <v>39</v>
      </c>
    </row>
    <row r="253" spans="1:5" x14ac:dyDescent="0.3">
      <c r="A253" s="4" t="s">
        <v>490</v>
      </c>
      <c r="B253" s="4" t="s">
        <v>491</v>
      </c>
      <c r="C253" s="4" t="s">
        <v>45</v>
      </c>
      <c r="D253" s="4">
        <v>1</v>
      </c>
      <c r="E253" s="4" t="s">
        <v>39</v>
      </c>
    </row>
    <row r="254" spans="1:5" x14ac:dyDescent="0.3">
      <c r="A254" s="4" t="s">
        <v>492</v>
      </c>
      <c r="B254" s="4" t="s">
        <v>493</v>
      </c>
      <c r="C254" s="4" t="s">
        <v>38</v>
      </c>
      <c r="D254" s="4">
        <v>1</v>
      </c>
      <c r="E254" s="4" t="s">
        <v>39</v>
      </c>
    </row>
    <row r="255" spans="1:5" x14ac:dyDescent="0.3">
      <c r="A255" s="4" t="s">
        <v>494</v>
      </c>
      <c r="B255" s="4" t="s">
        <v>495</v>
      </c>
      <c r="C255" s="4" t="s">
        <v>45</v>
      </c>
      <c r="D255" s="4">
        <v>1</v>
      </c>
      <c r="E255" s="4" t="s">
        <v>39</v>
      </c>
    </row>
    <row r="256" spans="1:5" x14ac:dyDescent="0.3">
      <c r="A256" s="4" t="s">
        <v>496</v>
      </c>
      <c r="B256" s="4" t="s">
        <v>497</v>
      </c>
      <c r="C256" s="4" t="s">
        <v>38</v>
      </c>
      <c r="D256" s="4">
        <v>1</v>
      </c>
      <c r="E256" s="4" t="s">
        <v>50</v>
      </c>
    </row>
    <row r="257" spans="1:5" x14ac:dyDescent="0.3">
      <c r="A257" s="4" t="s">
        <v>498</v>
      </c>
      <c r="B257" s="4" t="s">
        <v>3017</v>
      </c>
      <c r="C257" s="4" t="s">
        <v>53</v>
      </c>
      <c r="D257" s="4">
        <v>1</v>
      </c>
      <c r="E257" s="4" t="s">
        <v>50</v>
      </c>
    </row>
    <row r="258" spans="1:5" x14ac:dyDescent="0.3">
      <c r="A258" s="4" t="s">
        <v>499</v>
      </c>
      <c r="B258" s="4" t="s">
        <v>3018</v>
      </c>
      <c r="C258" s="4" t="s">
        <v>38</v>
      </c>
      <c r="D258" s="4">
        <v>1</v>
      </c>
      <c r="E258" s="4" t="s">
        <v>50</v>
      </c>
    </row>
    <row r="259" spans="1:5" x14ac:dyDescent="0.3">
      <c r="A259" s="4" t="s">
        <v>500</v>
      </c>
      <c r="B259" s="4" t="s">
        <v>3019</v>
      </c>
      <c r="C259" s="4" t="s">
        <v>53</v>
      </c>
      <c r="D259" s="4">
        <v>1</v>
      </c>
      <c r="E259" s="4" t="s">
        <v>50</v>
      </c>
    </row>
    <row r="260" spans="1:5" x14ac:dyDescent="0.3">
      <c r="A260" s="4" t="s">
        <v>501</v>
      </c>
      <c r="B260" s="4" t="s">
        <v>502</v>
      </c>
      <c r="C260" s="4" t="s">
        <v>38</v>
      </c>
      <c r="D260" s="4">
        <v>1</v>
      </c>
      <c r="E260" s="4" t="s">
        <v>39</v>
      </c>
    </row>
    <row r="261" spans="1:5" x14ac:dyDescent="0.3">
      <c r="A261" s="4" t="s">
        <v>503</v>
      </c>
      <c r="B261" s="4" t="s">
        <v>504</v>
      </c>
      <c r="C261" s="4" t="s">
        <v>45</v>
      </c>
      <c r="D261" s="4">
        <v>1</v>
      </c>
      <c r="E261" s="4" t="s">
        <v>39</v>
      </c>
    </row>
    <row r="262" spans="1:5" x14ac:dyDescent="0.3">
      <c r="A262" s="4" t="s">
        <v>505</v>
      </c>
      <c r="B262" s="4" t="s">
        <v>506</v>
      </c>
      <c r="C262" s="4" t="s">
        <v>38</v>
      </c>
      <c r="D262" s="4">
        <v>1</v>
      </c>
      <c r="E262" s="4" t="s">
        <v>39</v>
      </c>
    </row>
    <row r="263" spans="1:5" x14ac:dyDescent="0.3">
      <c r="A263" s="4" t="s">
        <v>507</v>
      </c>
      <c r="B263" s="4" t="s">
        <v>3020</v>
      </c>
      <c r="C263" s="4" t="s">
        <v>38</v>
      </c>
      <c r="D263" s="4">
        <v>1</v>
      </c>
      <c r="E263" s="4" t="s">
        <v>39</v>
      </c>
    </row>
    <row r="264" spans="1:5" x14ac:dyDescent="0.3">
      <c r="A264" s="4" t="s">
        <v>508</v>
      </c>
      <c r="B264" s="4" t="s">
        <v>509</v>
      </c>
      <c r="C264" s="4" t="s">
        <v>45</v>
      </c>
      <c r="D264" s="4">
        <v>1</v>
      </c>
      <c r="E264" s="4" t="s">
        <v>39</v>
      </c>
    </row>
    <row r="265" spans="1:5" x14ac:dyDescent="0.3">
      <c r="A265" s="4" t="s">
        <v>510</v>
      </c>
      <c r="B265" s="4" t="s">
        <v>511</v>
      </c>
      <c r="C265" s="4" t="s">
        <v>155</v>
      </c>
      <c r="D265" s="4">
        <v>1</v>
      </c>
      <c r="E265" s="4" t="s">
        <v>50</v>
      </c>
    </row>
    <row r="266" spans="1:5" x14ac:dyDescent="0.3">
      <c r="A266" s="4" t="s">
        <v>512</v>
      </c>
      <c r="B266" s="4" t="s">
        <v>513</v>
      </c>
      <c r="C266" s="4" t="s">
        <v>38</v>
      </c>
      <c r="D266" s="4">
        <v>1</v>
      </c>
      <c r="E266" s="4" t="s">
        <v>39</v>
      </c>
    </row>
    <row r="267" spans="1:5" x14ac:dyDescent="0.3">
      <c r="A267" s="4" t="s">
        <v>514</v>
      </c>
      <c r="B267" s="4" t="s">
        <v>515</v>
      </c>
      <c r="C267" s="4" t="s">
        <v>45</v>
      </c>
      <c r="D267" s="4">
        <v>1</v>
      </c>
      <c r="E267" s="4" t="s">
        <v>39</v>
      </c>
    </row>
    <row r="268" spans="1:5" x14ac:dyDescent="0.3">
      <c r="A268" s="4" t="s">
        <v>516</v>
      </c>
      <c r="B268" s="4" t="s">
        <v>3021</v>
      </c>
      <c r="C268" s="4" t="s">
        <v>38</v>
      </c>
      <c r="D268" s="4">
        <v>1</v>
      </c>
      <c r="E268" s="4" t="s">
        <v>39</v>
      </c>
    </row>
    <row r="269" spans="1:5" x14ac:dyDescent="0.3">
      <c r="A269" s="4" t="s">
        <v>517</v>
      </c>
      <c r="B269" s="4" t="s">
        <v>518</v>
      </c>
      <c r="C269" s="4" t="s">
        <v>38</v>
      </c>
      <c r="D269" s="4">
        <v>1</v>
      </c>
      <c r="E269" s="4" t="s">
        <v>39</v>
      </c>
    </row>
    <row r="270" spans="1:5" x14ac:dyDescent="0.3">
      <c r="A270" s="4" t="s">
        <v>519</v>
      </c>
      <c r="B270" s="4" t="s">
        <v>520</v>
      </c>
      <c r="C270" s="4" t="s">
        <v>38</v>
      </c>
      <c r="D270" s="4">
        <v>1</v>
      </c>
      <c r="E270" s="4" t="s">
        <v>39</v>
      </c>
    </row>
    <row r="271" spans="1:5" x14ac:dyDescent="0.3">
      <c r="A271" s="4" t="s">
        <v>521</v>
      </c>
      <c r="B271" s="4" t="s">
        <v>522</v>
      </c>
      <c r="C271" s="4" t="s">
        <v>38</v>
      </c>
      <c r="D271" s="4">
        <v>1</v>
      </c>
      <c r="E271" s="4" t="s">
        <v>39</v>
      </c>
    </row>
    <row r="272" spans="1:5" x14ac:dyDescent="0.3">
      <c r="A272" s="4" t="s">
        <v>523</v>
      </c>
      <c r="B272" s="4" t="s">
        <v>524</v>
      </c>
      <c r="C272" s="4" t="s">
        <v>38</v>
      </c>
      <c r="D272" s="4">
        <v>1</v>
      </c>
      <c r="E272" s="4" t="s">
        <v>39</v>
      </c>
    </row>
    <row r="273" spans="1:5" x14ac:dyDescent="0.3">
      <c r="A273" s="4" t="s">
        <v>525</v>
      </c>
      <c r="B273" s="4" t="s">
        <v>3022</v>
      </c>
      <c r="C273" s="4" t="s">
        <v>45</v>
      </c>
      <c r="D273" s="4">
        <v>1</v>
      </c>
      <c r="E273" s="4" t="s">
        <v>39</v>
      </c>
    </row>
    <row r="274" spans="1:5" x14ac:dyDescent="0.3">
      <c r="A274" s="4" t="s">
        <v>526</v>
      </c>
      <c r="B274" s="4" t="s">
        <v>527</v>
      </c>
      <c r="C274" s="4" t="s">
        <v>38</v>
      </c>
      <c r="D274" s="4">
        <v>1</v>
      </c>
      <c r="E274" s="4" t="s">
        <v>39</v>
      </c>
    </row>
    <row r="275" spans="1:5" x14ac:dyDescent="0.3">
      <c r="A275" s="4" t="s">
        <v>528</v>
      </c>
      <c r="B275" s="4" t="s">
        <v>3023</v>
      </c>
      <c r="C275" s="4" t="s">
        <v>38</v>
      </c>
      <c r="D275" s="4">
        <v>1</v>
      </c>
      <c r="E275" s="4" t="s">
        <v>50</v>
      </c>
    </row>
    <row r="276" spans="1:5" x14ac:dyDescent="0.3">
      <c r="A276" s="4" t="s">
        <v>529</v>
      </c>
      <c r="B276" s="4" t="s">
        <v>3024</v>
      </c>
      <c r="C276" s="4" t="s">
        <v>53</v>
      </c>
      <c r="D276" s="4">
        <v>1</v>
      </c>
      <c r="E276" s="4" t="s">
        <v>50</v>
      </c>
    </row>
    <row r="277" spans="1:5" x14ac:dyDescent="0.3">
      <c r="A277" s="4" t="s">
        <v>3025</v>
      </c>
      <c r="B277" s="4" t="s">
        <v>3026</v>
      </c>
      <c r="C277" s="4" t="s">
        <v>38</v>
      </c>
      <c r="D277" s="4">
        <v>1</v>
      </c>
      <c r="E277" s="4" t="s">
        <v>39</v>
      </c>
    </row>
    <row r="278" spans="1:5" x14ac:dyDescent="0.3">
      <c r="A278" s="4" t="s">
        <v>530</v>
      </c>
      <c r="B278" s="4" t="s">
        <v>531</v>
      </c>
      <c r="C278" s="4" t="s">
        <v>38</v>
      </c>
      <c r="D278" s="4">
        <v>1</v>
      </c>
      <c r="E278" s="4" t="s">
        <v>39</v>
      </c>
    </row>
    <row r="279" spans="1:5" x14ac:dyDescent="0.3">
      <c r="A279" s="4" t="s">
        <v>532</v>
      </c>
      <c r="B279" s="4" t="s">
        <v>3027</v>
      </c>
      <c r="C279" s="4" t="s">
        <v>38</v>
      </c>
      <c r="D279" s="4">
        <v>1</v>
      </c>
      <c r="E279" s="4" t="s">
        <v>39</v>
      </c>
    </row>
    <row r="280" spans="1:5" x14ac:dyDescent="0.3">
      <c r="A280" s="4" t="s">
        <v>533</v>
      </c>
      <c r="B280" s="4" t="s">
        <v>534</v>
      </c>
      <c r="C280" s="4" t="s">
        <v>38</v>
      </c>
      <c r="D280" s="4">
        <v>1</v>
      </c>
      <c r="E280" s="4" t="s">
        <v>39</v>
      </c>
    </row>
    <row r="281" spans="1:5" x14ac:dyDescent="0.3">
      <c r="A281" s="4" t="s">
        <v>535</v>
      </c>
      <c r="B281" s="4" t="s">
        <v>536</v>
      </c>
      <c r="C281" s="4" t="s">
        <v>38</v>
      </c>
      <c r="D281" s="4">
        <v>1</v>
      </c>
      <c r="E281" s="4" t="s">
        <v>39</v>
      </c>
    </row>
    <row r="282" spans="1:5" x14ac:dyDescent="0.3">
      <c r="A282" s="4" t="s">
        <v>537</v>
      </c>
      <c r="B282" s="4" t="s">
        <v>3028</v>
      </c>
      <c r="C282" s="4" t="s">
        <v>38</v>
      </c>
      <c r="D282" s="4">
        <v>1</v>
      </c>
      <c r="E282" s="4" t="s">
        <v>50</v>
      </c>
    </row>
    <row r="283" spans="1:5" x14ac:dyDescent="0.3">
      <c r="A283" s="4" t="s">
        <v>538</v>
      </c>
      <c r="B283" s="4" t="s">
        <v>3029</v>
      </c>
      <c r="C283" s="4" t="s">
        <v>53</v>
      </c>
      <c r="D283" s="4">
        <v>1</v>
      </c>
      <c r="E283" s="4" t="s">
        <v>50</v>
      </c>
    </row>
    <row r="284" spans="1:5" x14ac:dyDescent="0.3">
      <c r="A284" s="4" t="s">
        <v>539</v>
      </c>
      <c r="B284" s="4" t="s">
        <v>540</v>
      </c>
      <c r="C284" s="4" t="s">
        <v>38</v>
      </c>
      <c r="D284" s="4">
        <v>1</v>
      </c>
      <c r="E284" s="4" t="s">
        <v>39</v>
      </c>
    </row>
    <row r="285" spans="1:5" x14ac:dyDescent="0.3">
      <c r="A285" s="4" t="s">
        <v>541</v>
      </c>
      <c r="B285" s="4" t="s">
        <v>542</v>
      </c>
      <c r="C285" s="4" t="s">
        <v>38</v>
      </c>
      <c r="D285" s="4">
        <v>1</v>
      </c>
      <c r="E285" s="4" t="s">
        <v>50</v>
      </c>
    </row>
    <row r="286" spans="1:5" x14ac:dyDescent="0.3">
      <c r="A286" s="4" t="s">
        <v>543</v>
      </c>
      <c r="B286" s="4" t="s">
        <v>3030</v>
      </c>
      <c r="C286" s="4" t="s">
        <v>53</v>
      </c>
      <c r="D286" s="4">
        <v>1</v>
      </c>
      <c r="E286" s="4" t="s">
        <v>50</v>
      </c>
    </row>
    <row r="287" spans="1:5" x14ac:dyDescent="0.3">
      <c r="A287" s="4" t="s">
        <v>544</v>
      </c>
      <c r="B287" s="4" t="s">
        <v>3031</v>
      </c>
      <c r="C287" s="4" t="s">
        <v>38</v>
      </c>
      <c r="D287" s="4">
        <v>1</v>
      </c>
      <c r="E287" s="4" t="s">
        <v>50</v>
      </c>
    </row>
    <row r="288" spans="1:5" x14ac:dyDescent="0.3">
      <c r="A288" s="4" t="s">
        <v>545</v>
      </c>
      <c r="B288" s="4" t="s">
        <v>3032</v>
      </c>
      <c r="C288" s="4" t="s">
        <v>53</v>
      </c>
      <c r="D288" s="4">
        <v>1</v>
      </c>
      <c r="E288" s="4" t="s">
        <v>50</v>
      </c>
    </row>
    <row r="289" spans="1:5" x14ac:dyDescent="0.3">
      <c r="A289" s="4" t="s">
        <v>546</v>
      </c>
      <c r="B289" s="4" t="s">
        <v>3033</v>
      </c>
      <c r="C289" s="4" t="s">
        <v>38</v>
      </c>
      <c r="D289" s="4">
        <v>1</v>
      </c>
      <c r="E289" s="4" t="s">
        <v>39</v>
      </c>
    </row>
    <row r="290" spans="1:5" x14ac:dyDescent="0.3">
      <c r="A290" s="4" t="s">
        <v>547</v>
      </c>
      <c r="B290" s="4" t="s">
        <v>3034</v>
      </c>
      <c r="C290" s="4" t="s">
        <v>38</v>
      </c>
      <c r="D290" s="4">
        <v>1</v>
      </c>
      <c r="E290" s="4" t="s">
        <v>50</v>
      </c>
    </row>
    <row r="291" spans="1:5" x14ac:dyDescent="0.3">
      <c r="A291" s="4" t="s">
        <v>548</v>
      </c>
      <c r="B291" s="4" t="s">
        <v>3035</v>
      </c>
      <c r="C291" s="4" t="s">
        <v>53</v>
      </c>
      <c r="D291" s="4">
        <v>1</v>
      </c>
      <c r="E291" s="4" t="s">
        <v>50</v>
      </c>
    </row>
    <row r="292" spans="1:5" x14ac:dyDescent="0.3">
      <c r="A292" s="4" t="s">
        <v>549</v>
      </c>
      <c r="B292" s="4" t="s">
        <v>550</v>
      </c>
      <c r="C292" s="4" t="s">
        <v>38</v>
      </c>
      <c r="D292" s="4">
        <v>1</v>
      </c>
      <c r="E292" s="4" t="s">
        <v>39</v>
      </c>
    </row>
    <row r="293" spans="1:5" x14ac:dyDescent="0.3">
      <c r="A293" s="4" t="s">
        <v>551</v>
      </c>
      <c r="B293" s="4" t="s">
        <v>552</v>
      </c>
      <c r="C293" s="4" t="s">
        <v>45</v>
      </c>
      <c r="D293" s="4">
        <v>1</v>
      </c>
      <c r="E293" s="4" t="s">
        <v>39</v>
      </c>
    </row>
    <row r="294" spans="1:5" x14ac:dyDescent="0.3">
      <c r="A294" s="4" t="s">
        <v>553</v>
      </c>
      <c r="B294" s="4" t="s">
        <v>554</v>
      </c>
      <c r="C294" s="4" t="s">
        <v>155</v>
      </c>
      <c r="D294" s="4">
        <v>1</v>
      </c>
      <c r="E294" s="4" t="s">
        <v>39</v>
      </c>
    </row>
    <row r="295" spans="1:5" x14ac:dyDescent="0.3">
      <c r="A295" s="4" t="s">
        <v>555</v>
      </c>
      <c r="B295" s="4" t="s">
        <v>3036</v>
      </c>
      <c r="C295" s="4" t="s">
        <v>45</v>
      </c>
      <c r="D295" s="4">
        <v>1</v>
      </c>
      <c r="E295" s="4" t="s">
        <v>39</v>
      </c>
    </row>
    <row r="296" spans="1:5" x14ac:dyDescent="0.3">
      <c r="A296" s="11" t="s">
        <v>556</v>
      </c>
      <c r="B296" s="11" t="s">
        <v>3037</v>
      </c>
      <c r="C296" s="11" t="s">
        <v>38</v>
      </c>
      <c r="D296" s="11">
        <v>1</v>
      </c>
      <c r="E296" s="11" t="s">
        <v>39</v>
      </c>
    </row>
    <row r="297" spans="1:5" x14ac:dyDescent="0.3">
      <c r="A297" s="11" t="s">
        <v>557</v>
      </c>
      <c r="B297" s="11" t="s">
        <v>558</v>
      </c>
      <c r="C297" s="11" t="s">
        <v>38</v>
      </c>
      <c r="D297" s="11">
        <v>1</v>
      </c>
      <c r="E297" s="11" t="s">
        <v>39</v>
      </c>
    </row>
    <row r="298" spans="1:5" x14ac:dyDescent="0.3">
      <c r="A298" s="4" t="s">
        <v>559</v>
      </c>
      <c r="B298" s="4" t="s">
        <v>560</v>
      </c>
      <c r="C298" s="4" t="s">
        <v>38</v>
      </c>
      <c r="D298" s="4">
        <v>1</v>
      </c>
      <c r="E298" s="4" t="s">
        <v>39</v>
      </c>
    </row>
    <row r="299" spans="1:5" x14ac:dyDescent="0.3">
      <c r="A299" s="11" t="s">
        <v>561</v>
      </c>
      <c r="B299" s="4" t="s">
        <v>3038</v>
      </c>
      <c r="C299" s="4" t="s">
        <v>38</v>
      </c>
      <c r="D299" s="4">
        <v>1</v>
      </c>
      <c r="E299" s="4" t="s">
        <v>39</v>
      </c>
    </row>
    <row r="300" spans="1:5" x14ac:dyDescent="0.3">
      <c r="A300" s="11" t="s">
        <v>562</v>
      </c>
      <c r="B300" s="4" t="s">
        <v>563</v>
      </c>
      <c r="C300" s="4" t="s">
        <v>45</v>
      </c>
      <c r="D300" s="4">
        <v>1</v>
      </c>
      <c r="E300" s="4" t="s">
        <v>39</v>
      </c>
    </row>
    <row r="301" spans="1:5" x14ac:dyDescent="0.3">
      <c r="A301" s="4" t="s">
        <v>564</v>
      </c>
      <c r="B301" s="4" t="s">
        <v>565</v>
      </c>
      <c r="C301" s="4" t="s">
        <v>38</v>
      </c>
      <c r="D301" s="4">
        <v>1</v>
      </c>
      <c r="E301" s="4" t="s">
        <v>39</v>
      </c>
    </row>
    <row r="302" spans="1:5" x14ac:dyDescent="0.3">
      <c r="A302" s="4" t="s">
        <v>566</v>
      </c>
      <c r="B302" s="4" t="s">
        <v>567</v>
      </c>
      <c r="C302" s="4" t="s">
        <v>155</v>
      </c>
      <c r="D302" s="4">
        <v>1</v>
      </c>
      <c r="E302" s="4" t="s">
        <v>50</v>
      </c>
    </row>
    <row r="303" spans="1:5" x14ac:dyDescent="0.3">
      <c r="A303" s="4" t="s">
        <v>568</v>
      </c>
      <c r="B303" s="4" t="s">
        <v>569</v>
      </c>
      <c r="C303" s="4" t="s">
        <v>38</v>
      </c>
      <c r="D303" s="4">
        <v>1</v>
      </c>
      <c r="E303" s="4" t="s">
        <v>39</v>
      </c>
    </row>
    <row r="304" spans="1:5" x14ac:dyDescent="0.3">
      <c r="A304" s="4" t="s">
        <v>570</v>
      </c>
      <c r="B304" s="4" t="s">
        <v>571</v>
      </c>
      <c r="C304" s="4" t="s">
        <v>38</v>
      </c>
      <c r="D304" s="4">
        <v>1</v>
      </c>
      <c r="E304" s="4" t="s">
        <v>39</v>
      </c>
    </row>
    <row r="305" spans="1:5" x14ac:dyDescent="0.3">
      <c r="A305" s="4" t="s">
        <v>572</v>
      </c>
      <c r="B305" s="4" t="s">
        <v>573</v>
      </c>
      <c r="C305" s="4" t="s">
        <v>45</v>
      </c>
      <c r="D305" s="4">
        <v>1</v>
      </c>
      <c r="E305" s="4" t="s">
        <v>39</v>
      </c>
    </row>
    <row r="306" spans="1:5" x14ac:dyDescent="0.3">
      <c r="A306" s="4" t="s">
        <v>574</v>
      </c>
      <c r="B306" s="4" t="s">
        <v>575</v>
      </c>
      <c r="C306" s="4" t="s">
        <v>38</v>
      </c>
      <c r="D306" s="4">
        <v>1</v>
      </c>
      <c r="E306" s="4" t="s">
        <v>39</v>
      </c>
    </row>
    <row r="307" spans="1:5" x14ac:dyDescent="0.3">
      <c r="A307" s="4" t="s">
        <v>576</v>
      </c>
      <c r="B307" s="4" t="s">
        <v>577</v>
      </c>
      <c r="C307" s="4" t="s">
        <v>38</v>
      </c>
      <c r="D307" s="4">
        <v>1</v>
      </c>
      <c r="E307" s="4" t="s">
        <v>39</v>
      </c>
    </row>
    <row r="308" spans="1:5" x14ac:dyDescent="0.3">
      <c r="A308" s="4" t="s">
        <v>578</v>
      </c>
      <c r="B308" s="4" t="s">
        <v>3039</v>
      </c>
      <c r="C308" s="4" t="s">
        <v>38</v>
      </c>
      <c r="D308" s="4">
        <v>1</v>
      </c>
      <c r="E308" s="4" t="s">
        <v>39</v>
      </c>
    </row>
    <row r="309" spans="1:5" x14ac:dyDescent="0.3">
      <c r="A309" s="4" t="s">
        <v>579</v>
      </c>
      <c r="B309" s="4" t="s">
        <v>580</v>
      </c>
      <c r="C309" s="4" t="s">
        <v>38</v>
      </c>
      <c r="D309" s="4">
        <v>1</v>
      </c>
      <c r="E309" s="4" t="s">
        <v>39</v>
      </c>
    </row>
    <row r="310" spans="1:5" x14ac:dyDescent="0.3">
      <c r="A310" s="4" t="s">
        <v>3040</v>
      </c>
      <c r="B310" s="4" t="s">
        <v>3041</v>
      </c>
      <c r="C310" s="4" t="s">
        <v>38</v>
      </c>
      <c r="D310" s="4">
        <v>1</v>
      </c>
      <c r="E310" s="4" t="s">
        <v>39</v>
      </c>
    </row>
    <row r="311" spans="1:5" x14ac:dyDescent="0.3">
      <c r="A311" s="4" t="s">
        <v>581</v>
      </c>
      <c r="B311" s="4" t="s">
        <v>582</v>
      </c>
      <c r="C311" s="4" t="s">
        <v>38</v>
      </c>
      <c r="D311" s="4">
        <v>1</v>
      </c>
      <c r="E311" s="4" t="s">
        <v>39</v>
      </c>
    </row>
    <row r="312" spans="1:5" x14ac:dyDescent="0.3">
      <c r="A312" s="4" t="s">
        <v>583</v>
      </c>
      <c r="B312" s="4" t="s">
        <v>584</v>
      </c>
      <c r="C312" s="4" t="s">
        <v>38</v>
      </c>
      <c r="D312" s="4">
        <v>1</v>
      </c>
      <c r="E312" s="4" t="s">
        <v>39</v>
      </c>
    </row>
    <row r="313" spans="1:5" x14ac:dyDescent="0.3">
      <c r="A313" s="4" t="s">
        <v>585</v>
      </c>
      <c r="B313" s="4" t="s">
        <v>586</v>
      </c>
      <c r="C313" s="4" t="s">
        <v>38</v>
      </c>
      <c r="D313" s="4">
        <v>1</v>
      </c>
      <c r="E313" s="4" t="s">
        <v>39</v>
      </c>
    </row>
    <row r="314" spans="1:5" x14ac:dyDescent="0.3">
      <c r="A314" s="4" t="s">
        <v>587</v>
      </c>
      <c r="B314" s="4" t="s">
        <v>588</v>
      </c>
      <c r="C314" s="4" t="s">
        <v>38</v>
      </c>
      <c r="D314" s="4">
        <v>1</v>
      </c>
      <c r="E314" s="4" t="s">
        <v>50</v>
      </c>
    </row>
    <row r="315" spans="1:5" x14ac:dyDescent="0.3">
      <c r="A315" s="4" t="s">
        <v>589</v>
      </c>
      <c r="B315" s="4" t="s">
        <v>3042</v>
      </c>
      <c r="C315" s="4" t="s">
        <v>53</v>
      </c>
      <c r="D315" s="4">
        <v>1</v>
      </c>
      <c r="E315" s="4" t="s">
        <v>50</v>
      </c>
    </row>
    <row r="316" spans="1:5" x14ac:dyDescent="0.3">
      <c r="A316" s="4" t="s">
        <v>590</v>
      </c>
      <c r="B316" s="4" t="s">
        <v>591</v>
      </c>
      <c r="C316" s="4" t="s">
        <v>38</v>
      </c>
      <c r="D316" s="4">
        <v>1</v>
      </c>
      <c r="E316" s="4" t="s">
        <v>39</v>
      </c>
    </row>
    <row r="317" spans="1:5" x14ac:dyDescent="0.3">
      <c r="A317" s="4" t="s">
        <v>592</v>
      </c>
      <c r="B317" s="4" t="s">
        <v>593</v>
      </c>
      <c r="C317" s="4" t="s">
        <v>38</v>
      </c>
      <c r="D317" s="4">
        <v>1</v>
      </c>
      <c r="E317" s="4" t="s">
        <v>39</v>
      </c>
    </row>
    <row r="318" spans="1:5" x14ac:dyDescent="0.3">
      <c r="A318" s="4" t="s">
        <v>594</v>
      </c>
      <c r="B318" s="4" t="s">
        <v>3043</v>
      </c>
      <c r="C318" s="4" t="s">
        <v>38</v>
      </c>
      <c r="D318" s="4">
        <v>1</v>
      </c>
      <c r="E318" s="4" t="s">
        <v>39</v>
      </c>
    </row>
    <row r="319" spans="1:5" x14ac:dyDescent="0.3">
      <c r="A319" s="4" t="s">
        <v>595</v>
      </c>
      <c r="B319" s="4" t="s">
        <v>596</v>
      </c>
      <c r="C319" s="4" t="s">
        <v>38</v>
      </c>
      <c r="D319" s="4">
        <v>1</v>
      </c>
      <c r="E319" s="4" t="s">
        <v>39</v>
      </c>
    </row>
    <row r="320" spans="1:5" x14ac:dyDescent="0.3">
      <c r="A320" s="4" t="s">
        <v>597</v>
      </c>
      <c r="B320" s="4" t="s">
        <v>598</v>
      </c>
      <c r="C320" s="4" t="s">
        <v>38</v>
      </c>
      <c r="D320" s="4">
        <v>1</v>
      </c>
      <c r="E320" s="4" t="s">
        <v>39</v>
      </c>
    </row>
    <row r="321" spans="1:5" x14ac:dyDescent="0.3">
      <c r="A321" s="4" t="s">
        <v>599</v>
      </c>
      <c r="B321" s="4" t="s">
        <v>600</v>
      </c>
      <c r="C321" s="4" t="s">
        <v>38</v>
      </c>
      <c r="D321" s="4">
        <v>1</v>
      </c>
      <c r="E321" s="4" t="s">
        <v>39</v>
      </c>
    </row>
    <row r="322" spans="1:5" x14ac:dyDescent="0.3">
      <c r="A322" s="4" t="s">
        <v>601</v>
      </c>
      <c r="B322" s="4" t="s">
        <v>602</v>
      </c>
      <c r="C322" s="4" t="s">
        <v>45</v>
      </c>
      <c r="D322" s="4">
        <v>1</v>
      </c>
      <c r="E322" s="4" t="s">
        <v>39</v>
      </c>
    </row>
    <row r="323" spans="1:5" x14ac:dyDescent="0.3">
      <c r="A323" s="4" t="s">
        <v>603</v>
      </c>
      <c r="B323" s="4" t="s">
        <v>604</v>
      </c>
      <c r="C323" s="4" t="s">
        <v>364</v>
      </c>
      <c r="D323" s="4">
        <v>1</v>
      </c>
      <c r="E323" s="4" t="s">
        <v>39</v>
      </c>
    </row>
    <row r="324" spans="1:5" x14ac:dyDescent="0.3">
      <c r="A324" s="4" t="s">
        <v>605</v>
      </c>
      <c r="B324" s="4" t="s">
        <v>606</v>
      </c>
      <c r="C324" s="4" t="s">
        <v>38</v>
      </c>
      <c r="D324" s="4">
        <v>1</v>
      </c>
      <c r="E324" s="4" t="s">
        <v>39</v>
      </c>
    </row>
    <row r="325" spans="1:5" x14ac:dyDescent="0.3">
      <c r="A325" s="4" t="s">
        <v>607</v>
      </c>
      <c r="B325" s="4" t="s">
        <v>3044</v>
      </c>
      <c r="C325" s="4" t="s">
        <v>38</v>
      </c>
      <c r="D325" s="4">
        <v>1</v>
      </c>
      <c r="E325" s="4" t="s">
        <v>39</v>
      </c>
    </row>
    <row r="326" spans="1:5" x14ac:dyDescent="0.3">
      <c r="A326" s="4" t="s">
        <v>608</v>
      </c>
      <c r="B326" s="4" t="s">
        <v>3045</v>
      </c>
      <c r="C326" s="4" t="s">
        <v>38</v>
      </c>
      <c r="D326" s="4">
        <v>1</v>
      </c>
      <c r="E326" s="4" t="s">
        <v>39</v>
      </c>
    </row>
    <row r="327" spans="1:5" x14ac:dyDescent="0.3">
      <c r="A327" s="4" t="s">
        <v>609</v>
      </c>
      <c r="B327" s="4" t="s">
        <v>610</v>
      </c>
      <c r="C327" s="4" t="s">
        <v>38</v>
      </c>
      <c r="D327" s="4">
        <v>1</v>
      </c>
      <c r="E327" s="4" t="s">
        <v>39</v>
      </c>
    </row>
    <row r="328" spans="1:5" x14ac:dyDescent="0.3">
      <c r="A328" s="4" t="s">
        <v>611</v>
      </c>
      <c r="B328" s="4" t="s">
        <v>612</v>
      </c>
      <c r="C328" s="4" t="s">
        <v>38</v>
      </c>
      <c r="D328" s="4">
        <v>1</v>
      </c>
      <c r="E328" s="4" t="s">
        <v>39</v>
      </c>
    </row>
    <row r="329" spans="1:5" x14ac:dyDescent="0.3">
      <c r="A329" s="4" t="s">
        <v>613</v>
      </c>
      <c r="B329" s="4" t="s">
        <v>614</v>
      </c>
      <c r="C329" s="4" t="s">
        <v>38</v>
      </c>
      <c r="D329" s="4">
        <v>1</v>
      </c>
      <c r="E329" s="4" t="s">
        <v>39</v>
      </c>
    </row>
    <row r="330" spans="1:5" x14ac:dyDescent="0.3">
      <c r="A330" s="4" t="s">
        <v>615</v>
      </c>
      <c r="B330" s="4" t="s">
        <v>616</v>
      </c>
      <c r="C330" s="4" t="s">
        <v>38</v>
      </c>
      <c r="D330" s="4">
        <v>1</v>
      </c>
      <c r="E330" s="4" t="s">
        <v>39</v>
      </c>
    </row>
    <row r="331" spans="1:5" x14ac:dyDescent="0.3">
      <c r="A331" s="4" t="s">
        <v>617</v>
      </c>
      <c r="B331" s="4" t="s">
        <v>618</v>
      </c>
      <c r="C331" s="4" t="s">
        <v>38</v>
      </c>
      <c r="D331" s="4">
        <v>1</v>
      </c>
      <c r="E331" s="4" t="s">
        <v>39</v>
      </c>
    </row>
    <row r="332" spans="1:5" x14ac:dyDescent="0.3">
      <c r="A332" s="4" t="s">
        <v>619</v>
      </c>
      <c r="B332" s="4" t="s">
        <v>3046</v>
      </c>
      <c r="C332" s="4" t="s">
        <v>38</v>
      </c>
      <c r="D332" s="4">
        <v>1</v>
      </c>
      <c r="E332" s="4" t="s">
        <v>50</v>
      </c>
    </row>
    <row r="333" spans="1:5" x14ac:dyDescent="0.3">
      <c r="A333" s="4" t="s">
        <v>620</v>
      </c>
      <c r="B333" s="4" t="s">
        <v>3047</v>
      </c>
      <c r="C333" s="4" t="s">
        <v>53</v>
      </c>
      <c r="D333" s="4">
        <v>1</v>
      </c>
      <c r="E333" s="4" t="s">
        <v>50</v>
      </c>
    </row>
    <row r="334" spans="1:5" x14ac:dyDescent="0.3">
      <c r="A334" s="4" t="s">
        <v>621</v>
      </c>
      <c r="B334" s="4" t="s">
        <v>622</v>
      </c>
      <c r="C334" s="4" t="s">
        <v>38</v>
      </c>
      <c r="D334" s="4">
        <v>1</v>
      </c>
      <c r="E334" s="4" t="s">
        <v>39</v>
      </c>
    </row>
    <row r="335" spans="1:5" x14ac:dyDescent="0.3">
      <c r="A335" s="4" t="s">
        <v>623</v>
      </c>
      <c r="B335" s="4" t="s">
        <v>624</v>
      </c>
      <c r="C335" s="4" t="s">
        <v>38</v>
      </c>
      <c r="D335" s="4">
        <v>1</v>
      </c>
      <c r="E335" s="4" t="s">
        <v>39</v>
      </c>
    </row>
    <row r="336" spans="1:5" x14ac:dyDescent="0.3">
      <c r="A336" s="4" t="s">
        <v>625</v>
      </c>
      <c r="B336" s="4" t="s">
        <v>3048</v>
      </c>
      <c r="C336" s="4" t="s">
        <v>38</v>
      </c>
      <c r="D336" s="4">
        <v>1</v>
      </c>
      <c r="E336" s="4" t="s">
        <v>39</v>
      </c>
    </row>
    <row r="337" spans="1:5" x14ac:dyDescent="0.3">
      <c r="A337" s="4" t="s">
        <v>626</v>
      </c>
      <c r="B337" s="4" t="s">
        <v>627</v>
      </c>
      <c r="C337" s="4" t="s">
        <v>38</v>
      </c>
      <c r="D337" s="4">
        <v>1</v>
      </c>
      <c r="E337" s="4" t="s">
        <v>39</v>
      </c>
    </row>
    <row r="338" spans="1:5" x14ac:dyDescent="0.3">
      <c r="A338" s="4" t="s">
        <v>628</v>
      </c>
      <c r="B338" s="4" t="s">
        <v>629</v>
      </c>
      <c r="C338" s="4" t="s">
        <v>38</v>
      </c>
      <c r="D338" s="4">
        <v>1</v>
      </c>
      <c r="E338" s="4" t="s">
        <v>50</v>
      </c>
    </row>
    <row r="339" spans="1:5" x14ac:dyDescent="0.3">
      <c r="A339" s="4" t="s">
        <v>630</v>
      </c>
      <c r="B339" s="4" t="s">
        <v>3049</v>
      </c>
      <c r="C339" s="4" t="s">
        <v>53</v>
      </c>
      <c r="D339" s="4">
        <v>1</v>
      </c>
      <c r="E339" s="4" t="s">
        <v>50</v>
      </c>
    </row>
    <row r="340" spans="1:5" x14ac:dyDescent="0.3">
      <c r="A340" s="4" t="s">
        <v>631</v>
      </c>
      <c r="B340" s="4" t="s">
        <v>632</v>
      </c>
      <c r="C340" s="4" t="s">
        <v>38</v>
      </c>
      <c r="D340" s="4">
        <v>1</v>
      </c>
      <c r="E340" s="4" t="s">
        <v>39</v>
      </c>
    </row>
    <row r="341" spans="1:5" x14ac:dyDescent="0.3">
      <c r="A341" s="4" t="s">
        <v>633</v>
      </c>
      <c r="B341" s="4" t="s">
        <v>634</v>
      </c>
      <c r="C341" s="4" t="s">
        <v>45</v>
      </c>
      <c r="D341" s="4">
        <v>1</v>
      </c>
      <c r="E341" s="4" t="s">
        <v>39</v>
      </c>
    </row>
    <row r="342" spans="1:5" x14ac:dyDescent="0.3">
      <c r="A342" s="4" t="s">
        <v>635</v>
      </c>
      <c r="B342" s="4" t="s">
        <v>3050</v>
      </c>
      <c r="C342" s="4" t="s">
        <v>38</v>
      </c>
      <c r="D342" s="4">
        <v>1</v>
      </c>
      <c r="E342" s="4" t="s">
        <v>39</v>
      </c>
    </row>
    <row r="343" spans="1:5" x14ac:dyDescent="0.3">
      <c r="A343" s="4" t="s">
        <v>636</v>
      </c>
      <c r="B343" s="4" t="s">
        <v>3051</v>
      </c>
      <c r="C343" s="4" t="s">
        <v>38</v>
      </c>
      <c r="D343" s="4">
        <v>1</v>
      </c>
      <c r="E343" s="4" t="s">
        <v>39</v>
      </c>
    </row>
    <row r="344" spans="1:5" x14ac:dyDescent="0.3">
      <c r="A344" s="4" t="s">
        <v>637</v>
      </c>
      <c r="B344" s="4" t="s">
        <v>638</v>
      </c>
      <c r="C344" s="4" t="s">
        <v>38</v>
      </c>
      <c r="D344" s="4">
        <v>1</v>
      </c>
      <c r="E344" s="4" t="s">
        <v>50</v>
      </c>
    </row>
    <row r="345" spans="1:5" x14ac:dyDescent="0.3">
      <c r="A345" s="4" t="s">
        <v>639</v>
      </c>
      <c r="B345" s="4" t="s">
        <v>3052</v>
      </c>
      <c r="C345" s="4" t="s">
        <v>53</v>
      </c>
      <c r="D345" s="4">
        <v>1</v>
      </c>
      <c r="E345" s="4" t="s">
        <v>50</v>
      </c>
    </row>
    <row r="346" spans="1:5" x14ac:dyDescent="0.3">
      <c r="A346" s="4" t="s">
        <v>640</v>
      </c>
      <c r="B346" s="4" t="s">
        <v>186</v>
      </c>
      <c r="C346" s="4" t="s">
        <v>38</v>
      </c>
      <c r="D346" s="4">
        <v>1</v>
      </c>
      <c r="E346" s="4" t="s">
        <v>39</v>
      </c>
    </row>
    <row r="347" spans="1:5" x14ac:dyDescent="0.3">
      <c r="A347" s="4" t="s">
        <v>641</v>
      </c>
      <c r="B347" s="4" t="s">
        <v>642</v>
      </c>
      <c r="C347" s="4" t="s">
        <v>45</v>
      </c>
      <c r="D347" s="4">
        <v>1</v>
      </c>
      <c r="E347" s="4" t="s">
        <v>39</v>
      </c>
    </row>
    <row r="348" spans="1:5" x14ac:dyDescent="0.3">
      <c r="A348" s="4" t="s">
        <v>643</v>
      </c>
      <c r="B348" s="4" t="s">
        <v>644</v>
      </c>
      <c r="C348" s="4" t="s">
        <v>364</v>
      </c>
      <c r="D348" s="4">
        <v>1</v>
      </c>
      <c r="E348" s="4" t="s">
        <v>39</v>
      </c>
    </row>
    <row r="349" spans="1:5" x14ac:dyDescent="0.3">
      <c r="A349" s="4" t="s">
        <v>645</v>
      </c>
      <c r="B349" s="4" t="s">
        <v>646</v>
      </c>
      <c r="C349" s="4" t="s">
        <v>38</v>
      </c>
      <c r="D349" s="4">
        <v>1</v>
      </c>
      <c r="E349" s="4" t="s">
        <v>39</v>
      </c>
    </row>
    <row r="350" spans="1:5" x14ac:dyDescent="0.3">
      <c r="A350" s="4" t="s">
        <v>647</v>
      </c>
      <c r="B350" s="4" t="s">
        <v>648</v>
      </c>
      <c r="C350" s="4" t="s">
        <v>38</v>
      </c>
      <c r="D350" s="4">
        <v>1</v>
      </c>
      <c r="E350" s="4" t="s">
        <v>39</v>
      </c>
    </row>
    <row r="351" spans="1:5" x14ac:dyDescent="0.3">
      <c r="A351" s="4" t="s">
        <v>649</v>
      </c>
      <c r="B351" s="4" t="s">
        <v>650</v>
      </c>
      <c r="C351" s="4" t="s">
        <v>38</v>
      </c>
      <c r="D351" s="4">
        <v>1</v>
      </c>
      <c r="E351" s="4" t="s">
        <v>39</v>
      </c>
    </row>
    <row r="352" spans="1:5" x14ac:dyDescent="0.3">
      <c r="A352" s="4" t="s">
        <v>651</v>
      </c>
      <c r="B352" s="4" t="s">
        <v>652</v>
      </c>
      <c r="C352" s="4" t="s">
        <v>38</v>
      </c>
      <c r="D352" s="4">
        <v>1</v>
      </c>
      <c r="E352" s="4" t="s">
        <v>39</v>
      </c>
    </row>
    <row r="353" spans="1:5" x14ac:dyDescent="0.3">
      <c r="A353" s="4" t="s">
        <v>653</v>
      </c>
      <c r="B353" s="4" t="s">
        <v>654</v>
      </c>
      <c r="C353" s="4" t="s">
        <v>45</v>
      </c>
      <c r="D353" s="4">
        <v>1</v>
      </c>
      <c r="E353" s="4" t="s">
        <v>39</v>
      </c>
    </row>
    <row r="354" spans="1:5" x14ac:dyDescent="0.3">
      <c r="A354" s="4" t="s">
        <v>655</v>
      </c>
      <c r="B354" s="4" t="s">
        <v>656</v>
      </c>
      <c r="C354" s="4" t="s">
        <v>38</v>
      </c>
      <c r="D354" s="4">
        <v>1</v>
      </c>
      <c r="E354" s="4" t="s">
        <v>39</v>
      </c>
    </row>
    <row r="355" spans="1:5" x14ac:dyDescent="0.3">
      <c r="A355" s="4" t="s">
        <v>657</v>
      </c>
      <c r="B355" s="4" t="s">
        <v>658</v>
      </c>
      <c r="C355" s="4" t="s">
        <v>38</v>
      </c>
      <c r="D355" s="4">
        <v>1</v>
      </c>
      <c r="E355" s="4" t="s">
        <v>39</v>
      </c>
    </row>
    <row r="356" spans="1:5" x14ac:dyDescent="0.3">
      <c r="A356" s="4" t="s">
        <v>659</v>
      </c>
      <c r="B356" s="4" t="s">
        <v>660</v>
      </c>
      <c r="C356" s="4" t="s">
        <v>38</v>
      </c>
      <c r="D356" s="4">
        <v>1</v>
      </c>
      <c r="E356" s="4" t="s">
        <v>39</v>
      </c>
    </row>
    <row r="357" spans="1:5" x14ac:dyDescent="0.3">
      <c r="A357" s="4" t="s">
        <v>661</v>
      </c>
      <c r="B357" s="4" t="s">
        <v>3053</v>
      </c>
      <c r="C357" s="4" t="s">
        <v>38</v>
      </c>
      <c r="D357" s="4">
        <v>1</v>
      </c>
      <c r="E357" s="4" t="s">
        <v>39</v>
      </c>
    </row>
    <row r="358" spans="1:5" x14ac:dyDescent="0.3">
      <c r="A358" s="4" t="s">
        <v>3054</v>
      </c>
      <c r="B358" s="4" t="s">
        <v>3055</v>
      </c>
      <c r="C358" s="4" t="s">
        <v>38</v>
      </c>
      <c r="D358" s="4">
        <v>1</v>
      </c>
      <c r="E358" s="4" t="s">
        <v>39</v>
      </c>
    </row>
    <row r="359" spans="1:5" x14ac:dyDescent="0.3">
      <c r="A359" s="4" t="s">
        <v>662</v>
      </c>
      <c r="B359" s="4" t="s">
        <v>663</v>
      </c>
      <c r="C359" s="4" t="s">
        <v>45</v>
      </c>
      <c r="D359" s="4">
        <v>1</v>
      </c>
      <c r="E359" s="4" t="s">
        <v>39</v>
      </c>
    </row>
    <row r="360" spans="1:5" x14ac:dyDescent="0.3">
      <c r="A360" s="4" t="s">
        <v>664</v>
      </c>
      <c r="B360" s="4" t="s">
        <v>665</v>
      </c>
      <c r="C360" s="4" t="s">
        <v>364</v>
      </c>
      <c r="D360" s="4">
        <v>1</v>
      </c>
      <c r="E360" s="4" t="s">
        <v>39</v>
      </c>
    </row>
    <row r="361" spans="1:5" x14ac:dyDescent="0.3">
      <c r="A361" s="4" t="s">
        <v>666</v>
      </c>
      <c r="B361" s="4" t="s">
        <v>3056</v>
      </c>
      <c r="C361" s="4" t="s">
        <v>38</v>
      </c>
      <c r="D361" s="4">
        <v>1</v>
      </c>
      <c r="E361" s="4" t="s">
        <v>39</v>
      </c>
    </row>
    <row r="362" spans="1:5" x14ac:dyDescent="0.3">
      <c r="A362" s="4" t="s">
        <v>667</v>
      </c>
      <c r="B362" s="4" t="s">
        <v>668</v>
      </c>
      <c r="C362" s="4" t="s">
        <v>38</v>
      </c>
      <c r="D362" s="4">
        <v>1</v>
      </c>
      <c r="E362" s="4" t="s">
        <v>39</v>
      </c>
    </row>
    <row r="363" spans="1:5" x14ac:dyDescent="0.3">
      <c r="A363" s="4" t="s">
        <v>669</v>
      </c>
      <c r="B363" s="4" t="s">
        <v>670</v>
      </c>
      <c r="C363" s="4" t="s">
        <v>45</v>
      </c>
      <c r="D363" s="4">
        <v>1</v>
      </c>
      <c r="E363" s="4" t="s">
        <v>39</v>
      </c>
    </row>
    <row r="364" spans="1:5" x14ac:dyDescent="0.3">
      <c r="A364" s="4" t="s">
        <v>671</v>
      </c>
      <c r="B364" s="4" t="s">
        <v>672</v>
      </c>
      <c r="C364" s="4" t="s">
        <v>38</v>
      </c>
      <c r="D364" s="4">
        <v>1</v>
      </c>
      <c r="E364" s="4" t="s">
        <v>39</v>
      </c>
    </row>
    <row r="365" spans="1:5" x14ac:dyDescent="0.3">
      <c r="A365" s="4" t="s">
        <v>673</v>
      </c>
      <c r="B365" s="4" t="s">
        <v>3057</v>
      </c>
      <c r="C365" s="4" t="s">
        <v>38</v>
      </c>
      <c r="D365" s="4">
        <v>1</v>
      </c>
      <c r="E365" s="4" t="s">
        <v>50</v>
      </c>
    </row>
    <row r="366" spans="1:5" x14ac:dyDescent="0.3">
      <c r="A366" s="4" t="s">
        <v>674</v>
      </c>
      <c r="B366" s="4" t="s">
        <v>3058</v>
      </c>
      <c r="C366" s="4" t="s">
        <v>53</v>
      </c>
      <c r="D366" s="4">
        <v>1</v>
      </c>
      <c r="E366" s="4" t="s">
        <v>50</v>
      </c>
    </row>
    <row r="367" spans="1:5" x14ac:dyDescent="0.3">
      <c r="A367" s="4" t="s">
        <v>675</v>
      </c>
      <c r="B367" s="4" t="s">
        <v>676</v>
      </c>
      <c r="C367" s="4" t="s">
        <v>38</v>
      </c>
      <c r="D367" s="4">
        <v>1</v>
      </c>
      <c r="E367" s="4" t="s">
        <v>39</v>
      </c>
    </row>
    <row r="368" spans="1:5" x14ac:dyDescent="0.3">
      <c r="A368" s="4" t="s">
        <v>677</v>
      </c>
      <c r="B368" s="4" t="s">
        <v>678</v>
      </c>
      <c r="C368" s="4" t="s">
        <v>38</v>
      </c>
      <c r="D368" s="4">
        <v>1</v>
      </c>
      <c r="E368" s="4" t="s">
        <v>39</v>
      </c>
    </row>
    <row r="369" spans="1:5" x14ac:dyDescent="0.3">
      <c r="A369" s="4" t="s">
        <v>679</v>
      </c>
      <c r="B369" s="4" t="s">
        <v>680</v>
      </c>
      <c r="C369" s="4" t="s">
        <v>38</v>
      </c>
      <c r="D369" s="4">
        <v>1</v>
      </c>
      <c r="E369" s="4" t="s">
        <v>39</v>
      </c>
    </row>
    <row r="370" spans="1:5" x14ac:dyDescent="0.3">
      <c r="A370" s="4" t="s">
        <v>681</v>
      </c>
      <c r="B370" s="4" t="s">
        <v>682</v>
      </c>
      <c r="C370" s="4" t="s">
        <v>38</v>
      </c>
      <c r="D370" s="4">
        <v>1</v>
      </c>
      <c r="E370" s="4" t="s">
        <v>39</v>
      </c>
    </row>
    <row r="371" spans="1:5" x14ac:dyDescent="0.3">
      <c r="A371" s="4" t="s">
        <v>683</v>
      </c>
      <c r="B371" s="4" t="s">
        <v>3059</v>
      </c>
      <c r="C371" s="4" t="s">
        <v>38</v>
      </c>
      <c r="D371" s="4">
        <v>1</v>
      </c>
      <c r="E371" s="4" t="s">
        <v>39</v>
      </c>
    </row>
    <row r="372" spans="1:5" x14ac:dyDescent="0.3">
      <c r="A372" s="4" t="s">
        <v>684</v>
      </c>
      <c r="B372" s="4" t="s">
        <v>3060</v>
      </c>
      <c r="C372" s="4" t="s">
        <v>38</v>
      </c>
      <c r="D372" s="4">
        <v>1</v>
      </c>
      <c r="E372" s="4" t="s">
        <v>50</v>
      </c>
    </row>
    <row r="373" spans="1:5" x14ac:dyDescent="0.3">
      <c r="A373" s="4" t="s">
        <v>685</v>
      </c>
      <c r="B373" s="4" t="s">
        <v>3061</v>
      </c>
      <c r="C373" s="4" t="s">
        <v>53</v>
      </c>
      <c r="D373" s="4">
        <v>1</v>
      </c>
      <c r="E373" s="4" t="s">
        <v>50</v>
      </c>
    </row>
    <row r="374" spans="1:5" x14ac:dyDescent="0.3">
      <c r="A374" s="4" t="s">
        <v>686</v>
      </c>
      <c r="B374" s="4" t="s">
        <v>687</v>
      </c>
      <c r="C374" s="4" t="s">
        <v>38</v>
      </c>
      <c r="D374" s="4">
        <v>1</v>
      </c>
      <c r="E374" s="4" t="s">
        <v>39</v>
      </c>
    </row>
    <row r="375" spans="1:5" x14ac:dyDescent="0.3">
      <c r="A375" s="4" t="s">
        <v>688</v>
      </c>
      <c r="B375" s="4" t="s">
        <v>689</v>
      </c>
      <c r="C375" s="4" t="s">
        <v>38</v>
      </c>
      <c r="D375" s="4">
        <v>1</v>
      </c>
      <c r="E375" s="4" t="s">
        <v>50</v>
      </c>
    </row>
    <row r="376" spans="1:5" x14ac:dyDescent="0.3">
      <c r="A376" s="4" t="s">
        <v>690</v>
      </c>
      <c r="B376" s="4" t="s">
        <v>3062</v>
      </c>
      <c r="C376" s="4" t="s">
        <v>53</v>
      </c>
      <c r="D376" s="4">
        <v>1</v>
      </c>
      <c r="E376" s="4" t="s">
        <v>50</v>
      </c>
    </row>
    <row r="377" spans="1:5" x14ac:dyDescent="0.3">
      <c r="A377" s="4" t="s">
        <v>691</v>
      </c>
      <c r="B377" s="4" t="s">
        <v>692</v>
      </c>
      <c r="C377" s="4" t="s">
        <v>38</v>
      </c>
      <c r="D377" s="4">
        <v>1</v>
      </c>
      <c r="E377" s="4" t="s">
        <v>39</v>
      </c>
    </row>
    <row r="378" spans="1:5" x14ac:dyDescent="0.3">
      <c r="A378" s="4" t="s">
        <v>693</v>
      </c>
      <c r="B378" s="4" t="s">
        <v>3063</v>
      </c>
      <c r="C378" s="4" t="s">
        <v>38</v>
      </c>
      <c r="D378" s="4">
        <v>1</v>
      </c>
      <c r="E378" s="4" t="s">
        <v>39</v>
      </c>
    </row>
    <row r="379" spans="1:5" x14ac:dyDescent="0.3">
      <c r="A379" s="4" t="s">
        <v>694</v>
      </c>
      <c r="B379" s="4" t="s">
        <v>695</v>
      </c>
      <c r="C379" s="4" t="s">
        <v>38</v>
      </c>
      <c r="D379" s="4">
        <v>1</v>
      </c>
      <c r="E379" s="4" t="s">
        <v>39</v>
      </c>
    </row>
    <row r="380" spans="1:5" x14ac:dyDescent="0.3">
      <c r="A380" s="4" t="s">
        <v>696</v>
      </c>
      <c r="B380" s="4" t="s">
        <v>697</v>
      </c>
      <c r="C380" s="4" t="s">
        <v>38</v>
      </c>
      <c r="D380" s="4">
        <v>1</v>
      </c>
      <c r="E380" s="4" t="s">
        <v>39</v>
      </c>
    </row>
    <row r="381" spans="1:5" x14ac:dyDescent="0.3">
      <c r="A381" s="4" t="s">
        <v>698</v>
      </c>
      <c r="B381" s="4" t="s">
        <v>699</v>
      </c>
      <c r="C381" s="4" t="s">
        <v>38</v>
      </c>
      <c r="D381" s="4">
        <v>1</v>
      </c>
      <c r="E381" s="4" t="s">
        <v>39</v>
      </c>
    </row>
    <row r="382" spans="1:5" x14ac:dyDescent="0.3">
      <c r="A382" s="4" t="s">
        <v>700</v>
      </c>
      <c r="B382" s="4" t="s">
        <v>701</v>
      </c>
      <c r="C382" s="4" t="s">
        <v>38</v>
      </c>
      <c r="D382" s="4">
        <v>1</v>
      </c>
      <c r="E382" s="4" t="s">
        <v>39</v>
      </c>
    </row>
    <row r="383" spans="1:5" x14ac:dyDescent="0.3">
      <c r="A383" s="4" t="s">
        <v>702</v>
      </c>
      <c r="B383" s="4" t="s">
        <v>186</v>
      </c>
      <c r="C383" s="4" t="s">
        <v>38</v>
      </c>
      <c r="D383" s="4">
        <v>1</v>
      </c>
      <c r="E383" s="4" t="s">
        <v>39</v>
      </c>
    </row>
    <row r="384" spans="1:5" x14ac:dyDescent="0.3">
      <c r="A384" s="4" t="s">
        <v>703</v>
      </c>
      <c r="B384" s="4" t="s">
        <v>704</v>
      </c>
      <c r="C384" s="4" t="s">
        <v>38</v>
      </c>
      <c r="D384" s="4">
        <v>1</v>
      </c>
      <c r="E384" s="4" t="s">
        <v>39</v>
      </c>
    </row>
    <row r="385" spans="1:5" x14ac:dyDescent="0.3">
      <c r="A385" s="4" t="s">
        <v>705</v>
      </c>
      <c r="B385" s="4" t="s">
        <v>706</v>
      </c>
      <c r="C385" s="4" t="s">
        <v>45</v>
      </c>
      <c r="D385" s="4">
        <v>1</v>
      </c>
      <c r="E385" s="4" t="s">
        <v>39</v>
      </c>
    </row>
    <row r="386" spans="1:5" x14ac:dyDescent="0.3">
      <c r="A386" s="4" t="s">
        <v>707</v>
      </c>
      <c r="B386" s="4" t="s">
        <v>3064</v>
      </c>
      <c r="C386" s="4" t="s">
        <v>38</v>
      </c>
      <c r="D386" s="4">
        <v>1</v>
      </c>
      <c r="E386" s="4" t="s">
        <v>39</v>
      </c>
    </row>
    <row r="387" spans="1:5" x14ac:dyDescent="0.3">
      <c r="A387" s="4" t="s">
        <v>708</v>
      </c>
      <c r="B387" s="4" t="s">
        <v>709</v>
      </c>
      <c r="C387" s="4" t="s">
        <v>45</v>
      </c>
      <c r="D387" s="4">
        <v>1</v>
      </c>
      <c r="E387" s="4" t="s">
        <v>39</v>
      </c>
    </row>
    <row r="388" spans="1:5" x14ac:dyDescent="0.3">
      <c r="A388" s="4" t="s">
        <v>710</v>
      </c>
      <c r="B388" s="4" t="s">
        <v>3065</v>
      </c>
      <c r="C388" s="4" t="s">
        <v>38</v>
      </c>
      <c r="D388" s="4">
        <v>1</v>
      </c>
      <c r="E388" s="4" t="s">
        <v>39</v>
      </c>
    </row>
    <row r="389" spans="1:5" x14ac:dyDescent="0.3">
      <c r="A389" s="4" t="s">
        <v>711</v>
      </c>
      <c r="B389" s="4" t="s">
        <v>712</v>
      </c>
      <c r="C389" s="4" t="s">
        <v>38</v>
      </c>
      <c r="D389" s="4">
        <v>1</v>
      </c>
      <c r="E389" s="4" t="s">
        <v>39</v>
      </c>
    </row>
    <row r="390" spans="1:5" x14ac:dyDescent="0.3">
      <c r="A390" s="4" t="s">
        <v>713</v>
      </c>
      <c r="B390" s="4" t="s">
        <v>3066</v>
      </c>
      <c r="C390" s="4" t="s">
        <v>38</v>
      </c>
      <c r="D390" s="4">
        <v>1</v>
      </c>
      <c r="E390" s="4" t="s">
        <v>39</v>
      </c>
    </row>
    <row r="391" spans="1:5" x14ac:dyDescent="0.3">
      <c r="A391" s="4" t="s">
        <v>714</v>
      </c>
      <c r="B391" s="4" t="s">
        <v>715</v>
      </c>
      <c r="C391" s="4" t="s">
        <v>38</v>
      </c>
      <c r="D391" s="4">
        <v>1</v>
      </c>
      <c r="E391" s="4" t="s">
        <v>39</v>
      </c>
    </row>
    <row r="392" spans="1:5" x14ac:dyDescent="0.3">
      <c r="A392" s="4" t="s">
        <v>716</v>
      </c>
      <c r="B392" s="4" t="s">
        <v>3067</v>
      </c>
      <c r="C392" s="4" t="s">
        <v>38</v>
      </c>
      <c r="D392" s="4">
        <v>1</v>
      </c>
      <c r="E392" s="4" t="s">
        <v>39</v>
      </c>
    </row>
    <row r="393" spans="1:5" x14ac:dyDescent="0.3">
      <c r="A393" s="4" t="s">
        <v>717</v>
      </c>
      <c r="B393" s="4" t="s">
        <v>718</v>
      </c>
      <c r="C393" s="4" t="s">
        <v>38</v>
      </c>
      <c r="D393" s="4">
        <v>1</v>
      </c>
      <c r="E393" s="4" t="s">
        <v>39</v>
      </c>
    </row>
    <row r="394" spans="1:5" x14ac:dyDescent="0.3">
      <c r="A394" s="4" t="s">
        <v>719</v>
      </c>
      <c r="B394" s="4" t="s">
        <v>720</v>
      </c>
      <c r="C394" s="4" t="s">
        <v>38</v>
      </c>
      <c r="D394" s="4">
        <v>1</v>
      </c>
      <c r="E394" s="4" t="s">
        <v>50</v>
      </c>
    </row>
    <row r="395" spans="1:5" x14ac:dyDescent="0.3">
      <c r="A395" s="4" t="s">
        <v>721</v>
      </c>
      <c r="B395" s="4" t="s">
        <v>722</v>
      </c>
      <c r="C395" s="4" t="s">
        <v>38</v>
      </c>
      <c r="D395" s="4">
        <v>1</v>
      </c>
      <c r="E395" s="4" t="s">
        <v>39</v>
      </c>
    </row>
    <row r="396" spans="1:5" x14ac:dyDescent="0.3">
      <c r="A396" s="4" t="s">
        <v>723</v>
      </c>
      <c r="B396" s="4" t="s">
        <v>724</v>
      </c>
      <c r="C396" s="4" t="s">
        <v>38</v>
      </c>
      <c r="D396" s="4">
        <v>1</v>
      </c>
      <c r="E396" s="4" t="s">
        <v>39</v>
      </c>
    </row>
    <row r="397" spans="1:5" x14ac:dyDescent="0.3">
      <c r="A397" s="4" t="s">
        <v>725</v>
      </c>
      <c r="B397" s="4" t="s">
        <v>726</v>
      </c>
      <c r="C397" s="4" t="s">
        <v>38</v>
      </c>
      <c r="D397" s="4">
        <v>1</v>
      </c>
      <c r="E397" s="4" t="s">
        <v>39</v>
      </c>
    </row>
    <row r="398" spans="1:5" x14ac:dyDescent="0.3">
      <c r="A398" s="4" t="s">
        <v>727</v>
      </c>
      <c r="B398" s="4" t="s">
        <v>728</v>
      </c>
      <c r="C398" s="4" t="s">
        <v>38</v>
      </c>
      <c r="D398" s="4">
        <v>1</v>
      </c>
      <c r="E398" s="4" t="s">
        <v>39</v>
      </c>
    </row>
    <row r="399" spans="1:5" x14ac:dyDescent="0.3">
      <c r="A399" s="4" t="s">
        <v>729</v>
      </c>
      <c r="B399" s="4" t="s">
        <v>3068</v>
      </c>
      <c r="C399" s="4" t="s">
        <v>38</v>
      </c>
      <c r="D399" s="4">
        <v>1</v>
      </c>
      <c r="E399" s="4" t="s">
        <v>50</v>
      </c>
    </row>
    <row r="400" spans="1:5" x14ac:dyDescent="0.3">
      <c r="A400" s="4" t="s">
        <v>730</v>
      </c>
      <c r="B400" s="4" t="s">
        <v>3069</v>
      </c>
      <c r="C400" s="4" t="s">
        <v>53</v>
      </c>
      <c r="D400" s="4">
        <v>1</v>
      </c>
      <c r="E400" s="4" t="s">
        <v>50</v>
      </c>
    </row>
    <row r="401" spans="1:5" x14ac:dyDescent="0.3">
      <c r="A401" s="4" t="s">
        <v>731</v>
      </c>
      <c r="B401" s="4" t="s">
        <v>732</v>
      </c>
      <c r="C401" s="4" t="s">
        <v>38</v>
      </c>
      <c r="D401" s="4">
        <v>1</v>
      </c>
      <c r="E401" s="4" t="s">
        <v>39</v>
      </c>
    </row>
    <row r="402" spans="1:5" x14ac:dyDescent="0.3">
      <c r="A402" s="4" t="s">
        <v>733</v>
      </c>
      <c r="B402" s="4" t="s">
        <v>3070</v>
      </c>
      <c r="C402" s="4" t="s">
        <v>45</v>
      </c>
      <c r="D402" s="4">
        <v>1</v>
      </c>
      <c r="E402" s="4" t="s">
        <v>39</v>
      </c>
    </row>
    <row r="403" spans="1:5" x14ac:dyDescent="0.3">
      <c r="A403" s="4" t="s">
        <v>734</v>
      </c>
      <c r="B403" s="4" t="s">
        <v>735</v>
      </c>
      <c r="C403" s="4" t="s">
        <v>38</v>
      </c>
      <c r="D403" s="4">
        <v>1</v>
      </c>
      <c r="E403" s="4" t="s">
        <v>39</v>
      </c>
    </row>
    <row r="404" spans="1:5" x14ac:dyDescent="0.3">
      <c r="A404" s="4" t="s">
        <v>736</v>
      </c>
      <c r="B404" s="4" t="s">
        <v>737</v>
      </c>
      <c r="C404" s="4" t="s">
        <v>38</v>
      </c>
      <c r="D404" s="4">
        <v>1</v>
      </c>
      <c r="E404" s="4" t="s">
        <v>39</v>
      </c>
    </row>
    <row r="405" spans="1:5" x14ac:dyDescent="0.3">
      <c r="A405" s="4" t="s">
        <v>738</v>
      </c>
      <c r="B405" s="4" t="s">
        <v>739</v>
      </c>
      <c r="C405" s="4" t="s">
        <v>38</v>
      </c>
      <c r="D405" s="4">
        <v>1</v>
      </c>
      <c r="E405" s="4" t="s">
        <v>50</v>
      </c>
    </row>
    <row r="406" spans="1:5" x14ac:dyDescent="0.3">
      <c r="A406" s="4" t="s">
        <v>740</v>
      </c>
      <c r="B406" s="4" t="s">
        <v>3071</v>
      </c>
      <c r="C406" s="4" t="s">
        <v>53</v>
      </c>
      <c r="D406" s="4">
        <v>1</v>
      </c>
      <c r="E406" s="4" t="s">
        <v>50</v>
      </c>
    </row>
    <row r="407" spans="1:5" x14ac:dyDescent="0.3">
      <c r="A407" s="4" t="s">
        <v>741</v>
      </c>
      <c r="B407" s="4" t="s">
        <v>3072</v>
      </c>
      <c r="C407" s="4" t="s">
        <v>38</v>
      </c>
      <c r="D407" s="4">
        <v>1</v>
      </c>
      <c r="E407" s="4" t="s">
        <v>39</v>
      </c>
    </row>
    <row r="408" spans="1:5" x14ac:dyDescent="0.3">
      <c r="A408" s="4" t="s">
        <v>742</v>
      </c>
      <c r="B408" s="4" t="s">
        <v>743</v>
      </c>
      <c r="C408" s="4" t="s">
        <v>38</v>
      </c>
      <c r="D408" s="4">
        <v>1</v>
      </c>
      <c r="E408" s="4" t="s">
        <v>50</v>
      </c>
    </row>
    <row r="409" spans="1:5" x14ac:dyDescent="0.3">
      <c r="A409" s="4" t="s">
        <v>744</v>
      </c>
      <c r="B409" s="4" t="s">
        <v>745</v>
      </c>
      <c r="C409" s="4" t="s">
        <v>155</v>
      </c>
      <c r="D409" s="4">
        <v>3</v>
      </c>
      <c r="E409" s="4" t="s">
        <v>50</v>
      </c>
    </row>
    <row r="410" spans="1:5" x14ac:dyDescent="0.3">
      <c r="A410" s="4" t="s">
        <v>746</v>
      </c>
      <c r="B410" s="4" t="s">
        <v>747</v>
      </c>
      <c r="C410" s="4" t="s">
        <v>38</v>
      </c>
      <c r="D410" s="4">
        <v>1</v>
      </c>
      <c r="E410" s="4" t="s">
        <v>39</v>
      </c>
    </row>
    <row r="411" spans="1:5" x14ac:dyDescent="0.3">
      <c r="A411" s="4" t="s">
        <v>748</v>
      </c>
      <c r="B411" s="4" t="s">
        <v>749</v>
      </c>
      <c r="C411" s="4" t="s">
        <v>38</v>
      </c>
      <c r="D411" s="4">
        <v>1</v>
      </c>
      <c r="E411" s="4" t="s">
        <v>39</v>
      </c>
    </row>
    <row r="412" spans="1:5" x14ac:dyDescent="0.3">
      <c r="A412" s="4" t="s">
        <v>750</v>
      </c>
      <c r="B412" s="4" t="s">
        <v>751</v>
      </c>
      <c r="C412" s="4" t="s">
        <v>45</v>
      </c>
      <c r="D412" s="4">
        <v>1</v>
      </c>
      <c r="E412" s="4" t="s">
        <v>39</v>
      </c>
    </row>
    <row r="413" spans="1:5" x14ac:dyDescent="0.3">
      <c r="A413" s="4" t="s">
        <v>752</v>
      </c>
      <c r="B413" s="4" t="s">
        <v>753</v>
      </c>
      <c r="C413" s="4" t="s">
        <v>38</v>
      </c>
      <c r="D413" s="4">
        <v>1</v>
      </c>
      <c r="E413" s="4" t="s">
        <v>39</v>
      </c>
    </row>
    <row r="414" spans="1:5" x14ac:dyDescent="0.3">
      <c r="A414" s="4" t="s">
        <v>754</v>
      </c>
      <c r="B414" s="4" t="s">
        <v>755</v>
      </c>
      <c r="C414" s="4" t="s">
        <v>38</v>
      </c>
      <c r="D414" s="4">
        <v>1</v>
      </c>
      <c r="E414" s="4" t="s">
        <v>39</v>
      </c>
    </row>
    <row r="415" spans="1:5" x14ac:dyDescent="0.3">
      <c r="A415" s="4" t="s">
        <v>756</v>
      </c>
      <c r="B415" s="4" t="s">
        <v>757</v>
      </c>
      <c r="C415" s="4" t="s">
        <v>38</v>
      </c>
      <c r="D415" s="4">
        <v>1</v>
      </c>
      <c r="E415" s="4" t="s">
        <v>39</v>
      </c>
    </row>
    <row r="416" spans="1:5" x14ac:dyDescent="0.3">
      <c r="A416" s="4" t="s">
        <v>758</v>
      </c>
      <c r="B416" s="4" t="s">
        <v>3073</v>
      </c>
      <c r="C416" s="4" t="s">
        <v>38</v>
      </c>
      <c r="D416" s="4">
        <v>1</v>
      </c>
      <c r="E416" s="4" t="s">
        <v>39</v>
      </c>
    </row>
    <row r="417" spans="1:5" x14ac:dyDescent="0.3">
      <c r="A417" s="4" t="s">
        <v>759</v>
      </c>
      <c r="B417" s="4" t="s">
        <v>760</v>
      </c>
      <c r="C417" s="4" t="s">
        <v>45</v>
      </c>
      <c r="D417" s="4">
        <v>1</v>
      </c>
      <c r="E417" s="4" t="s">
        <v>39</v>
      </c>
    </row>
    <row r="418" spans="1:5" x14ac:dyDescent="0.3">
      <c r="A418" s="4" t="s">
        <v>761</v>
      </c>
      <c r="B418" s="4" t="s">
        <v>762</v>
      </c>
      <c r="C418" s="4" t="s">
        <v>38</v>
      </c>
      <c r="D418" s="4">
        <v>1</v>
      </c>
      <c r="E418" s="4" t="s">
        <v>39</v>
      </c>
    </row>
    <row r="419" spans="1:5" x14ac:dyDescent="0.3">
      <c r="A419" s="4" t="s">
        <v>763</v>
      </c>
      <c r="B419" s="4" t="s">
        <v>3074</v>
      </c>
      <c r="C419" s="4" t="s">
        <v>38</v>
      </c>
      <c r="D419" s="4">
        <v>1</v>
      </c>
      <c r="E419" s="4" t="s">
        <v>39</v>
      </c>
    </row>
    <row r="420" spans="1:5" x14ac:dyDescent="0.3">
      <c r="A420" s="4" t="s">
        <v>764</v>
      </c>
      <c r="B420" s="4" t="s">
        <v>765</v>
      </c>
      <c r="C420" s="4" t="s">
        <v>38</v>
      </c>
      <c r="D420" s="4">
        <v>1</v>
      </c>
      <c r="E420" s="4" t="s">
        <v>39</v>
      </c>
    </row>
    <row r="421" spans="1:5" x14ac:dyDescent="0.3">
      <c r="A421" s="4" t="s">
        <v>766</v>
      </c>
      <c r="B421" s="4" t="s">
        <v>767</v>
      </c>
      <c r="C421" s="4" t="s">
        <v>38</v>
      </c>
      <c r="D421" s="4">
        <v>1</v>
      </c>
      <c r="E421" s="4" t="s">
        <v>39</v>
      </c>
    </row>
    <row r="422" spans="1:5" x14ac:dyDescent="0.3">
      <c r="A422" s="4" t="s">
        <v>768</v>
      </c>
      <c r="B422" s="4" t="s">
        <v>769</v>
      </c>
      <c r="C422" s="4" t="s">
        <v>38</v>
      </c>
      <c r="D422" s="4">
        <v>1</v>
      </c>
      <c r="E422" s="4" t="s">
        <v>50</v>
      </c>
    </row>
    <row r="423" spans="1:5" x14ac:dyDescent="0.3">
      <c r="A423" s="4" t="s">
        <v>770</v>
      </c>
      <c r="B423" s="4" t="s">
        <v>771</v>
      </c>
      <c r="C423" s="4" t="s">
        <v>155</v>
      </c>
      <c r="D423" s="4">
        <v>1</v>
      </c>
      <c r="E423" s="4" t="s">
        <v>50</v>
      </c>
    </row>
    <row r="424" spans="1:5" x14ac:dyDescent="0.3">
      <c r="A424" s="4" t="s">
        <v>772</v>
      </c>
      <c r="B424" s="4" t="s">
        <v>3075</v>
      </c>
      <c r="C424" s="4" t="s">
        <v>53</v>
      </c>
      <c r="D424" s="4">
        <v>1</v>
      </c>
      <c r="E424" s="4" t="s">
        <v>50</v>
      </c>
    </row>
    <row r="425" spans="1:5" x14ac:dyDescent="0.3">
      <c r="A425" s="4" t="s">
        <v>773</v>
      </c>
      <c r="B425" s="4" t="s">
        <v>186</v>
      </c>
      <c r="C425" s="4" t="s">
        <v>38</v>
      </c>
      <c r="D425" s="4">
        <v>1</v>
      </c>
      <c r="E425" s="4" t="s">
        <v>39</v>
      </c>
    </row>
    <row r="426" spans="1:5" x14ac:dyDescent="0.3">
      <c r="A426" s="4" t="s">
        <v>774</v>
      </c>
      <c r="B426" s="4" t="s">
        <v>3076</v>
      </c>
      <c r="C426" s="4" t="s">
        <v>38</v>
      </c>
      <c r="D426" s="4">
        <v>1</v>
      </c>
      <c r="E426" s="4" t="s">
        <v>39</v>
      </c>
    </row>
    <row r="427" spans="1:5" x14ac:dyDescent="0.3">
      <c r="A427" s="4" t="s">
        <v>775</v>
      </c>
      <c r="B427" s="4" t="s">
        <v>776</v>
      </c>
      <c r="C427" s="4" t="s">
        <v>38</v>
      </c>
      <c r="D427" s="4">
        <v>1</v>
      </c>
      <c r="E427" s="4" t="s">
        <v>50</v>
      </c>
    </row>
    <row r="428" spans="1:5" x14ac:dyDescent="0.3">
      <c r="A428" s="4" t="s">
        <v>777</v>
      </c>
      <c r="B428" s="4" t="s">
        <v>3077</v>
      </c>
      <c r="C428" s="4" t="s">
        <v>53</v>
      </c>
      <c r="D428" s="4">
        <v>1</v>
      </c>
      <c r="E428" s="4" t="s">
        <v>50</v>
      </c>
    </row>
    <row r="429" spans="1:5" x14ac:dyDescent="0.3">
      <c r="A429" s="4" t="s">
        <v>778</v>
      </c>
      <c r="B429" s="4" t="s">
        <v>779</v>
      </c>
      <c r="C429" s="4" t="s">
        <v>38</v>
      </c>
      <c r="D429" s="4">
        <v>1</v>
      </c>
      <c r="E429" s="4" t="s">
        <v>39</v>
      </c>
    </row>
    <row r="430" spans="1:5" x14ac:dyDescent="0.3">
      <c r="A430" s="4" t="s">
        <v>780</v>
      </c>
      <c r="B430" s="4" t="s">
        <v>781</v>
      </c>
      <c r="C430" s="4" t="s">
        <v>38</v>
      </c>
      <c r="D430" s="4">
        <v>1</v>
      </c>
      <c r="E430" s="4" t="s">
        <v>39</v>
      </c>
    </row>
    <row r="431" spans="1:5" x14ac:dyDescent="0.3">
      <c r="A431" s="4" t="s">
        <v>782</v>
      </c>
      <c r="B431" s="4" t="s">
        <v>783</v>
      </c>
      <c r="C431" s="4" t="s">
        <v>38</v>
      </c>
      <c r="D431" s="4">
        <v>1</v>
      </c>
      <c r="E431" s="4" t="s">
        <v>39</v>
      </c>
    </row>
    <row r="432" spans="1:5" x14ac:dyDescent="0.3">
      <c r="A432" s="4" t="s">
        <v>784</v>
      </c>
      <c r="B432" s="4" t="s">
        <v>785</v>
      </c>
      <c r="C432" s="4" t="s">
        <v>38</v>
      </c>
      <c r="D432" s="4">
        <v>1</v>
      </c>
      <c r="E432" s="4" t="s">
        <v>39</v>
      </c>
    </row>
    <row r="433" spans="1:5" x14ac:dyDescent="0.3">
      <c r="A433" s="4" t="s">
        <v>786</v>
      </c>
      <c r="B433" s="4" t="s">
        <v>3078</v>
      </c>
      <c r="C433" s="4" t="s">
        <v>38</v>
      </c>
      <c r="D433" s="4">
        <v>1</v>
      </c>
      <c r="E433" s="4" t="s">
        <v>39</v>
      </c>
    </row>
    <row r="434" spans="1:5" x14ac:dyDescent="0.3">
      <c r="A434" s="4" t="s">
        <v>787</v>
      </c>
      <c r="B434" s="4" t="s">
        <v>788</v>
      </c>
      <c r="C434" s="4" t="s">
        <v>45</v>
      </c>
      <c r="D434" s="4">
        <v>1</v>
      </c>
      <c r="E434" s="4" t="s">
        <v>39</v>
      </c>
    </row>
    <row r="435" spans="1:5" x14ac:dyDescent="0.3">
      <c r="A435" s="4" t="s">
        <v>789</v>
      </c>
      <c r="B435" s="4" t="s">
        <v>790</v>
      </c>
      <c r="C435" s="4" t="s">
        <v>38</v>
      </c>
      <c r="D435" s="4">
        <v>1</v>
      </c>
      <c r="E435" s="4" t="s">
        <v>39</v>
      </c>
    </row>
    <row r="436" spans="1:5" x14ac:dyDescent="0.3">
      <c r="A436" s="4" t="s">
        <v>791</v>
      </c>
      <c r="B436" s="4" t="s">
        <v>792</v>
      </c>
      <c r="C436" s="4" t="s">
        <v>38</v>
      </c>
      <c r="D436" s="4">
        <v>1</v>
      </c>
      <c r="E436" s="4" t="s">
        <v>50</v>
      </c>
    </row>
    <row r="437" spans="1:5" x14ac:dyDescent="0.3">
      <c r="A437" s="4" t="s">
        <v>793</v>
      </c>
      <c r="B437" s="4" t="s">
        <v>3079</v>
      </c>
      <c r="C437" s="4" t="s">
        <v>53</v>
      </c>
      <c r="D437" s="4">
        <v>1</v>
      </c>
      <c r="E437" s="4" t="s">
        <v>50</v>
      </c>
    </row>
    <row r="438" spans="1:5" x14ac:dyDescent="0.3">
      <c r="A438" s="4" t="s">
        <v>794</v>
      </c>
      <c r="B438" s="4" t="s">
        <v>795</v>
      </c>
      <c r="C438" s="4" t="s">
        <v>38</v>
      </c>
      <c r="D438" s="4">
        <v>1</v>
      </c>
      <c r="E438" s="4" t="s">
        <v>39</v>
      </c>
    </row>
    <row r="439" spans="1:5" x14ac:dyDescent="0.3">
      <c r="A439" s="4" t="s">
        <v>796</v>
      </c>
      <c r="B439" s="4" t="s">
        <v>186</v>
      </c>
      <c r="C439" s="4" t="s">
        <v>38</v>
      </c>
      <c r="D439" s="4">
        <v>1</v>
      </c>
      <c r="E439" s="4" t="s">
        <v>39</v>
      </c>
    </row>
    <row r="440" spans="1:5" x14ac:dyDescent="0.3">
      <c r="A440" s="4" t="s">
        <v>797</v>
      </c>
      <c r="B440" s="4" t="s">
        <v>3080</v>
      </c>
      <c r="C440" s="4" t="s">
        <v>38</v>
      </c>
      <c r="D440" s="4">
        <v>1</v>
      </c>
      <c r="E440" s="4" t="s">
        <v>39</v>
      </c>
    </row>
    <row r="441" spans="1:5" x14ac:dyDescent="0.3">
      <c r="A441" s="4" t="s">
        <v>798</v>
      </c>
      <c r="B441" s="4" t="s">
        <v>186</v>
      </c>
      <c r="C441" s="4" t="s">
        <v>38</v>
      </c>
      <c r="D441" s="4">
        <v>1</v>
      </c>
      <c r="E441" s="4" t="s">
        <v>39</v>
      </c>
    </row>
    <row r="442" spans="1:5" x14ac:dyDescent="0.3">
      <c r="A442" s="4" t="s">
        <v>799</v>
      </c>
      <c r="B442" s="4" t="s">
        <v>800</v>
      </c>
      <c r="C442" s="4" t="s">
        <v>38</v>
      </c>
      <c r="D442" s="4">
        <v>1</v>
      </c>
      <c r="E442" s="4" t="s">
        <v>39</v>
      </c>
    </row>
    <row r="443" spans="1:5" x14ac:dyDescent="0.3">
      <c r="A443" s="4" t="s">
        <v>801</v>
      </c>
      <c r="B443" s="4" t="s">
        <v>802</v>
      </c>
      <c r="C443" s="4" t="s">
        <v>38</v>
      </c>
      <c r="D443" s="4">
        <v>1</v>
      </c>
      <c r="E443" s="4" t="s">
        <v>39</v>
      </c>
    </row>
    <row r="444" spans="1:5" x14ac:dyDescent="0.3">
      <c r="A444" s="4" t="s">
        <v>803</v>
      </c>
      <c r="B444" s="4" t="s">
        <v>804</v>
      </c>
      <c r="C444" s="4" t="s">
        <v>38</v>
      </c>
      <c r="D444" s="4">
        <v>1</v>
      </c>
      <c r="E444" s="4" t="s">
        <v>39</v>
      </c>
    </row>
    <row r="445" spans="1:5" x14ac:dyDescent="0.3">
      <c r="A445" s="4" t="s">
        <v>805</v>
      </c>
      <c r="B445" s="4" t="s">
        <v>806</v>
      </c>
      <c r="C445" s="4" t="s">
        <v>45</v>
      </c>
      <c r="D445" s="4">
        <v>1</v>
      </c>
      <c r="E445" s="4" t="s">
        <v>39</v>
      </c>
    </row>
    <row r="446" spans="1:5" x14ac:dyDescent="0.3">
      <c r="A446" s="4" t="s">
        <v>807</v>
      </c>
      <c r="B446" s="4" t="s">
        <v>3081</v>
      </c>
      <c r="C446" s="4" t="s">
        <v>3082</v>
      </c>
      <c r="D446" s="4">
        <v>1</v>
      </c>
      <c r="E446" s="4" t="s">
        <v>39</v>
      </c>
    </row>
    <row r="447" spans="1:5" x14ac:dyDescent="0.3">
      <c r="A447" s="4" t="s">
        <v>808</v>
      </c>
      <c r="B447" s="4" t="s">
        <v>809</v>
      </c>
      <c r="C447" s="4" t="s">
        <v>364</v>
      </c>
      <c r="D447" s="4">
        <v>1</v>
      </c>
      <c r="E447" s="4" t="s">
        <v>39</v>
      </c>
    </row>
  </sheetData>
  <autoFilter ref="A1:E447" xr:uid="{00000000-0001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F167"/>
  <sheetViews>
    <sheetView topLeftCell="A145" zoomScale="110" zoomScaleNormal="110" workbookViewId="0">
      <selection activeCell="C2" sqref="C2:C167"/>
    </sheetView>
  </sheetViews>
  <sheetFormatPr defaultColWidth="8.77734375" defaultRowHeight="14.4" x14ac:dyDescent="0.3"/>
  <cols>
    <col min="1" max="1" width="15.77734375" bestFit="1" customWidth="1"/>
    <col min="2" max="2" width="12.77734375" bestFit="1" customWidth="1"/>
    <col min="3" max="1024" width="8.44140625" customWidth="1"/>
  </cols>
  <sheetData>
    <row r="1" spans="1:6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6" x14ac:dyDescent="0.3">
      <c r="A2" s="4" t="s">
        <v>811</v>
      </c>
      <c r="B2" s="4" t="s">
        <v>36</v>
      </c>
      <c r="C2" s="3">
        <v>28.6</v>
      </c>
      <c r="D2" s="3">
        <v>1</v>
      </c>
      <c r="E2" s="3">
        <v>7000</v>
      </c>
      <c r="F2" s="6"/>
    </row>
    <row r="3" spans="1:6" x14ac:dyDescent="0.3">
      <c r="A3" s="4" t="s">
        <v>812</v>
      </c>
      <c r="B3" s="4" t="s">
        <v>51</v>
      </c>
      <c r="C3" s="3">
        <v>6</v>
      </c>
      <c r="D3" s="3">
        <v>1</v>
      </c>
      <c r="E3" s="3">
        <v>7000</v>
      </c>
      <c r="F3" s="6"/>
    </row>
    <row r="4" spans="1:6" x14ac:dyDescent="0.3">
      <c r="A4" s="11" t="s">
        <v>813</v>
      </c>
      <c r="B4" s="11" t="s">
        <v>56</v>
      </c>
      <c r="C4" s="12">
        <v>0</v>
      </c>
      <c r="D4" s="12">
        <v>1</v>
      </c>
      <c r="E4" s="12">
        <v>7000</v>
      </c>
      <c r="F4" s="6"/>
    </row>
    <row r="5" spans="1:6" x14ac:dyDescent="0.3">
      <c r="A5" s="4" t="s">
        <v>814</v>
      </c>
      <c r="B5" s="4" t="s">
        <v>57</v>
      </c>
      <c r="C5" s="3">
        <v>1.2</v>
      </c>
      <c r="D5" s="3">
        <v>1</v>
      </c>
      <c r="E5" s="3">
        <v>7000</v>
      </c>
    </row>
    <row r="6" spans="1:6" x14ac:dyDescent="0.3">
      <c r="A6" s="4" t="s">
        <v>815</v>
      </c>
      <c r="B6" s="4" t="s">
        <v>59</v>
      </c>
      <c r="C6" s="3">
        <v>0</v>
      </c>
      <c r="D6" s="3">
        <v>1</v>
      </c>
      <c r="E6" s="3">
        <v>7000</v>
      </c>
    </row>
    <row r="7" spans="1:6" x14ac:dyDescent="0.3">
      <c r="A7" s="4" t="s">
        <v>816</v>
      </c>
      <c r="B7" s="4" t="s">
        <v>60</v>
      </c>
      <c r="C7" s="3">
        <v>14</v>
      </c>
      <c r="D7" s="3">
        <v>1</v>
      </c>
      <c r="E7" s="3">
        <v>7000</v>
      </c>
    </row>
    <row r="8" spans="1:6" x14ac:dyDescent="0.3">
      <c r="A8" s="4" t="s">
        <v>817</v>
      </c>
      <c r="B8" s="4" t="s">
        <v>64</v>
      </c>
      <c r="C8" s="3">
        <v>12.4</v>
      </c>
      <c r="D8" s="3">
        <v>1</v>
      </c>
      <c r="E8" s="3">
        <v>7000</v>
      </c>
    </row>
    <row r="9" spans="1:6" x14ac:dyDescent="0.3">
      <c r="A9" s="4" t="s">
        <v>818</v>
      </c>
      <c r="B9" s="4" t="s">
        <v>66</v>
      </c>
      <c r="C9" s="3">
        <v>4.7</v>
      </c>
      <c r="D9" s="3">
        <v>1</v>
      </c>
      <c r="E9" s="3">
        <v>7000</v>
      </c>
    </row>
    <row r="10" spans="1:6" x14ac:dyDescent="0.3">
      <c r="A10" s="4" t="s">
        <v>819</v>
      </c>
      <c r="B10" s="4" t="s">
        <v>68</v>
      </c>
      <c r="C10" s="3">
        <v>0.9</v>
      </c>
      <c r="D10" s="3">
        <v>1</v>
      </c>
      <c r="E10" s="3">
        <v>7000</v>
      </c>
    </row>
    <row r="11" spans="1:6" x14ac:dyDescent="0.3">
      <c r="A11" s="4" t="s">
        <v>820</v>
      </c>
      <c r="B11" s="4" t="s">
        <v>72</v>
      </c>
      <c r="C11" s="3">
        <v>15.4</v>
      </c>
      <c r="D11" s="3">
        <v>1</v>
      </c>
      <c r="E11" s="3">
        <v>7000</v>
      </c>
    </row>
    <row r="12" spans="1:6" x14ac:dyDescent="0.3">
      <c r="A12" s="4" t="s">
        <v>821</v>
      </c>
      <c r="B12" s="4" t="s">
        <v>82</v>
      </c>
      <c r="C12" s="3">
        <v>26.7</v>
      </c>
      <c r="D12" s="3">
        <v>1</v>
      </c>
      <c r="E12" s="3">
        <v>7000</v>
      </c>
    </row>
    <row r="13" spans="1:6" x14ac:dyDescent="0.3">
      <c r="A13" s="4" t="s">
        <v>822</v>
      </c>
      <c r="B13" s="4" t="s">
        <v>86</v>
      </c>
      <c r="C13" s="3">
        <v>6.1</v>
      </c>
      <c r="D13" s="3">
        <v>1</v>
      </c>
      <c r="E13" s="3">
        <v>7000</v>
      </c>
    </row>
    <row r="14" spans="1:6" x14ac:dyDescent="0.3">
      <c r="A14" s="4" t="s">
        <v>823</v>
      </c>
      <c r="B14" s="4" t="s">
        <v>253</v>
      </c>
      <c r="C14" s="3">
        <v>0</v>
      </c>
      <c r="D14" s="3">
        <v>1</v>
      </c>
      <c r="E14" s="3">
        <v>7000</v>
      </c>
    </row>
    <row r="15" spans="1:6" x14ac:dyDescent="0.3">
      <c r="A15" s="4" t="s">
        <v>824</v>
      </c>
      <c r="B15" s="4" t="s">
        <v>90</v>
      </c>
      <c r="C15" s="3">
        <v>4.5</v>
      </c>
      <c r="D15" s="3">
        <v>1</v>
      </c>
      <c r="E15" s="3">
        <v>7000</v>
      </c>
    </row>
    <row r="16" spans="1:6" x14ac:dyDescent="0.3">
      <c r="A16" s="4" t="s">
        <v>825</v>
      </c>
      <c r="B16" s="4" t="s">
        <v>92</v>
      </c>
      <c r="C16" s="3">
        <v>2</v>
      </c>
      <c r="D16" s="3">
        <v>1</v>
      </c>
      <c r="E16" s="3">
        <v>7000</v>
      </c>
    </row>
    <row r="17" spans="1:5" x14ac:dyDescent="0.3">
      <c r="A17" s="4" t="s">
        <v>826</v>
      </c>
      <c r="B17" s="4" t="s">
        <v>92</v>
      </c>
      <c r="C17" s="3">
        <v>16.600000000000001</v>
      </c>
      <c r="D17" s="3">
        <v>1</v>
      </c>
      <c r="E17" s="3">
        <v>7000</v>
      </c>
    </row>
    <row r="18" spans="1:5" x14ac:dyDescent="0.3">
      <c r="A18" s="4" t="s">
        <v>827</v>
      </c>
      <c r="B18" s="4" t="s">
        <v>96</v>
      </c>
      <c r="C18" s="3">
        <v>10.4</v>
      </c>
      <c r="D18" s="3">
        <v>1</v>
      </c>
      <c r="E18" s="3">
        <v>7000</v>
      </c>
    </row>
    <row r="19" spans="1:5" x14ac:dyDescent="0.3">
      <c r="A19" s="4" t="s">
        <v>828</v>
      </c>
      <c r="B19" s="4" t="s">
        <v>98</v>
      </c>
      <c r="C19" s="3">
        <v>11.5</v>
      </c>
      <c r="D19" s="3">
        <v>1</v>
      </c>
      <c r="E19" s="3">
        <v>7000</v>
      </c>
    </row>
    <row r="20" spans="1:5" x14ac:dyDescent="0.3">
      <c r="A20" s="4" t="s">
        <v>829</v>
      </c>
      <c r="B20" s="4" t="s">
        <v>104</v>
      </c>
      <c r="C20" s="3">
        <v>5.3</v>
      </c>
      <c r="D20" s="3">
        <v>1</v>
      </c>
      <c r="E20" s="3">
        <v>7000</v>
      </c>
    </row>
    <row r="21" spans="1:5" x14ac:dyDescent="0.3">
      <c r="A21" s="4" t="s">
        <v>830</v>
      </c>
      <c r="B21" s="4" t="s">
        <v>106</v>
      </c>
      <c r="C21" s="3">
        <v>3.8</v>
      </c>
      <c r="D21" s="3">
        <v>1</v>
      </c>
      <c r="E21" s="3">
        <v>7000</v>
      </c>
    </row>
    <row r="22" spans="1:5" x14ac:dyDescent="0.3">
      <c r="A22" s="4" t="s">
        <v>831</v>
      </c>
      <c r="B22" s="4" t="s">
        <v>106</v>
      </c>
      <c r="C22" s="3">
        <v>6</v>
      </c>
      <c r="D22" s="3">
        <v>1</v>
      </c>
      <c r="E22" s="3">
        <v>7000</v>
      </c>
    </row>
    <row r="23" spans="1:5" x14ac:dyDescent="0.3">
      <c r="A23" s="4" t="s">
        <v>832</v>
      </c>
      <c r="B23" s="4" t="s">
        <v>108</v>
      </c>
      <c r="C23" s="3">
        <v>4.2</v>
      </c>
      <c r="D23" s="3">
        <v>1</v>
      </c>
      <c r="E23" s="3">
        <v>7000</v>
      </c>
    </row>
    <row r="24" spans="1:5" x14ac:dyDescent="0.3">
      <c r="A24" s="4" t="s">
        <v>833</v>
      </c>
      <c r="B24" s="4" t="s">
        <v>114</v>
      </c>
      <c r="C24" s="3">
        <v>6.2</v>
      </c>
      <c r="D24" s="3">
        <v>1</v>
      </c>
      <c r="E24" s="3">
        <v>7000</v>
      </c>
    </row>
    <row r="25" spans="1:5" x14ac:dyDescent="0.3">
      <c r="A25" s="4" t="s">
        <v>834</v>
      </c>
      <c r="B25" s="4" t="s">
        <v>116</v>
      </c>
      <c r="C25" s="3">
        <v>1.7</v>
      </c>
      <c r="D25" s="3">
        <v>1</v>
      </c>
      <c r="E25" s="3">
        <v>7000</v>
      </c>
    </row>
    <row r="26" spans="1:5" x14ac:dyDescent="0.3">
      <c r="A26" s="4" t="s">
        <v>835</v>
      </c>
      <c r="B26" s="4" t="s">
        <v>125</v>
      </c>
      <c r="C26" s="3">
        <v>91.2</v>
      </c>
      <c r="D26" s="3">
        <v>1</v>
      </c>
      <c r="E26" s="3">
        <v>7000</v>
      </c>
    </row>
    <row r="27" spans="1:5" x14ac:dyDescent="0.3">
      <c r="A27" s="4" t="s">
        <v>836</v>
      </c>
      <c r="B27" s="4" t="s">
        <v>129</v>
      </c>
      <c r="C27" s="3">
        <v>6</v>
      </c>
      <c r="D27" s="3">
        <v>1</v>
      </c>
      <c r="E27" s="3">
        <v>7000</v>
      </c>
    </row>
    <row r="28" spans="1:5" x14ac:dyDescent="0.3">
      <c r="A28" s="4" t="s">
        <v>837</v>
      </c>
      <c r="B28" s="4" t="s">
        <v>131</v>
      </c>
      <c r="C28" s="3">
        <v>8.3000000000000007</v>
      </c>
      <c r="D28" s="3">
        <v>1</v>
      </c>
      <c r="E28" s="3">
        <v>7000</v>
      </c>
    </row>
    <row r="29" spans="1:5" x14ac:dyDescent="0.3">
      <c r="A29" s="4" t="s">
        <v>838</v>
      </c>
      <c r="B29" s="4" t="s">
        <v>137</v>
      </c>
      <c r="C29" s="3">
        <v>17.100000000000001</v>
      </c>
      <c r="D29" s="3">
        <v>1</v>
      </c>
      <c r="E29" s="3">
        <v>7000</v>
      </c>
    </row>
    <row r="30" spans="1:5" x14ac:dyDescent="0.3">
      <c r="A30" s="4" t="s">
        <v>839</v>
      </c>
      <c r="B30" s="4" t="s">
        <v>141</v>
      </c>
      <c r="C30" s="3">
        <v>16.5</v>
      </c>
      <c r="D30" s="3">
        <v>1</v>
      </c>
      <c r="E30" s="3">
        <v>7000</v>
      </c>
    </row>
    <row r="31" spans="1:5" x14ac:dyDescent="0.3">
      <c r="A31" s="4" t="s">
        <v>840</v>
      </c>
      <c r="B31" s="4" t="s">
        <v>145</v>
      </c>
      <c r="C31" s="3">
        <v>13.8</v>
      </c>
      <c r="D31" s="3">
        <v>1</v>
      </c>
      <c r="E31" s="3">
        <v>7000</v>
      </c>
    </row>
    <row r="32" spans="1:5" x14ac:dyDescent="0.3">
      <c r="A32" s="4" t="s">
        <v>841</v>
      </c>
      <c r="B32" s="4" t="s">
        <v>147</v>
      </c>
      <c r="C32" s="3">
        <v>1.9</v>
      </c>
      <c r="D32" s="3">
        <v>1</v>
      </c>
      <c r="E32" s="3">
        <v>7000</v>
      </c>
    </row>
    <row r="33" spans="1:5" x14ac:dyDescent="0.3">
      <c r="A33" s="4" t="s">
        <v>842</v>
      </c>
      <c r="B33" s="4" t="s">
        <v>156</v>
      </c>
      <c r="C33" s="3">
        <v>4</v>
      </c>
      <c r="D33" s="3">
        <v>1</v>
      </c>
      <c r="E33" s="3">
        <v>7000</v>
      </c>
    </row>
    <row r="34" spans="1:5" x14ac:dyDescent="0.3">
      <c r="A34" s="4" t="s">
        <v>843</v>
      </c>
      <c r="B34" s="4" t="s">
        <v>161</v>
      </c>
      <c r="C34" s="3">
        <v>26.6</v>
      </c>
      <c r="D34" s="3">
        <v>1</v>
      </c>
      <c r="E34" s="3">
        <v>7000</v>
      </c>
    </row>
    <row r="35" spans="1:5" x14ac:dyDescent="0.3">
      <c r="A35" s="4" t="s">
        <v>844</v>
      </c>
      <c r="B35" s="4" t="s">
        <v>167</v>
      </c>
      <c r="C35" s="3">
        <v>12.9</v>
      </c>
      <c r="D35" s="3">
        <v>1</v>
      </c>
      <c r="E35" s="3">
        <v>7000</v>
      </c>
    </row>
    <row r="36" spans="1:5" x14ac:dyDescent="0.3">
      <c r="A36" s="4" t="s">
        <v>845</v>
      </c>
      <c r="B36" s="4" t="s">
        <v>188</v>
      </c>
      <c r="C36" s="3">
        <v>8.3000000000000007</v>
      </c>
      <c r="D36" s="3">
        <v>1</v>
      </c>
      <c r="E36" s="3">
        <v>7000</v>
      </c>
    </row>
    <row r="37" spans="1:5" x14ac:dyDescent="0.3">
      <c r="A37" s="4" t="s">
        <v>846</v>
      </c>
      <c r="B37" s="4" t="s">
        <v>192</v>
      </c>
      <c r="C37" s="3">
        <v>9.6</v>
      </c>
      <c r="D37" s="3">
        <v>1</v>
      </c>
      <c r="E37" s="3">
        <v>7000</v>
      </c>
    </row>
    <row r="38" spans="1:5" x14ac:dyDescent="0.3">
      <c r="A38" s="4" t="s">
        <v>847</v>
      </c>
      <c r="B38" s="4" t="s">
        <v>198</v>
      </c>
      <c r="C38" s="3">
        <v>8.4</v>
      </c>
      <c r="D38" s="3">
        <v>1</v>
      </c>
      <c r="E38" s="3">
        <v>7000</v>
      </c>
    </row>
    <row r="39" spans="1:5" x14ac:dyDescent="0.3">
      <c r="A39" s="4" t="s">
        <v>848</v>
      </c>
      <c r="B39" s="4" t="s">
        <v>202</v>
      </c>
      <c r="C39" s="3">
        <v>10.7</v>
      </c>
      <c r="D39" s="3">
        <v>1</v>
      </c>
      <c r="E39" s="3">
        <v>7000</v>
      </c>
    </row>
    <row r="40" spans="1:5" x14ac:dyDescent="0.3">
      <c r="A40" s="4" t="s">
        <v>849</v>
      </c>
      <c r="B40" s="4" t="s">
        <v>224</v>
      </c>
      <c r="C40" s="3">
        <v>15.2</v>
      </c>
      <c r="D40" s="3">
        <v>1</v>
      </c>
      <c r="E40" s="3">
        <v>7000</v>
      </c>
    </row>
    <row r="41" spans="1:5" x14ac:dyDescent="0.3">
      <c r="A41" s="4" t="s">
        <v>850</v>
      </c>
      <c r="B41" s="4" t="s">
        <v>226</v>
      </c>
      <c r="C41" s="3">
        <v>6.4</v>
      </c>
      <c r="D41" s="3">
        <v>1</v>
      </c>
      <c r="E41" s="3">
        <v>7000</v>
      </c>
    </row>
    <row r="42" spans="1:5" x14ac:dyDescent="0.3">
      <c r="A42" s="4" t="s">
        <v>851</v>
      </c>
      <c r="B42" s="4" t="s">
        <v>228</v>
      </c>
      <c r="C42" s="3">
        <v>50.8</v>
      </c>
      <c r="D42" s="3">
        <v>1</v>
      </c>
      <c r="E42" s="3">
        <v>7000</v>
      </c>
    </row>
    <row r="43" spans="1:5" x14ac:dyDescent="0.3">
      <c r="A43" s="4" t="s">
        <v>852</v>
      </c>
      <c r="B43" s="4" t="s">
        <v>232</v>
      </c>
      <c r="C43" s="3">
        <v>6.6</v>
      </c>
      <c r="D43" s="3">
        <v>1</v>
      </c>
      <c r="E43" s="3">
        <v>7000</v>
      </c>
    </row>
    <row r="44" spans="1:5" x14ac:dyDescent="0.3">
      <c r="A44" s="4" t="s">
        <v>853</v>
      </c>
      <c r="B44" s="4" t="s">
        <v>239</v>
      </c>
      <c r="C44" s="3">
        <v>128.9</v>
      </c>
      <c r="D44" s="3">
        <v>1</v>
      </c>
      <c r="E44" s="3">
        <v>7000</v>
      </c>
    </row>
    <row r="45" spans="1:5" x14ac:dyDescent="0.3">
      <c r="A45" s="4" t="s">
        <v>854</v>
      </c>
      <c r="B45" s="4" t="s">
        <v>251</v>
      </c>
      <c r="C45" s="3">
        <v>90.3</v>
      </c>
      <c r="D45" s="3">
        <v>1</v>
      </c>
      <c r="E45" s="3">
        <v>7000</v>
      </c>
    </row>
    <row r="46" spans="1:5" x14ac:dyDescent="0.3">
      <c r="A46" s="4" t="s">
        <v>855</v>
      </c>
      <c r="B46" s="4" t="s">
        <v>253</v>
      </c>
      <c r="C46" s="3">
        <v>73.2</v>
      </c>
      <c r="D46" s="3">
        <v>1</v>
      </c>
      <c r="E46" s="3">
        <v>7000</v>
      </c>
    </row>
    <row r="47" spans="1:5" x14ac:dyDescent="0.3">
      <c r="A47" s="4" t="s">
        <v>856</v>
      </c>
      <c r="B47" s="4" t="s">
        <v>257</v>
      </c>
      <c r="C47" s="3">
        <v>7.1</v>
      </c>
      <c r="D47" s="3">
        <v>1</v>
      </c>
      <c r="E47" s="3">
        <v>7000</v>
      </c>
    </row>
    <row r="48" spans="1:5" x14ac:dyDescent="0.3">
      <c r="A48" s="11" t="s">
        <v>857</v>
      </c>
      <c r="B48" s="11" t="s">
        <v>261</v>
      </c>
      <c r="C48" s="12">
        <v>0</v>
      </c>
      <c r="D48" s="12">
        <v>1</v>
      </c>
      <c r="E48" s="12">
        <v>7000</v>
      </c>
    </row>
    <row r="49" spans="1:5" x14ac:dyDescent="0.3">
      <c r="A49" s="4" t="s">
        <v>858</v>
      </c>
      <c r="B49" s="4" t="s">
        <v>262</v>
      </c>
      <c r="C49" s="3">
        <v>18.2</v>
      </c>
      <c r="D49" s="3">
        <v>1</v>
      </c>
      <c r="E49" s="3">
        <v>7000</v>
      </c>
    </row>
    <row r="50" spans="1:5" x14ac:dyDescent="0.3">
      <c r="A50" s="4" t="s">
        <v>859</v>
      </c>
      <c r="B50" s="4" t="s">
        <v>266</v>
      </c>
      <c r="C50" s="3">
        <v>15.9</v>
      </c>
      <c r="D50" s="3">
        <v>1</v>
      </c>
      <c r="E50" s="3">
        <v>7000</v>
      </c>
    </row>
    <row r="51" spans="1:5" x14ac:dyDescent="0.3">
      <c r="A51" s="4" t="s">
        <v>860</v>
      </c>
      <c r="B51" s="4" t="s">
        <v>270</v>
      </c>
      <c r="C51" s="3">
        <v>11.8</v>
      </c>
      <c r="D51" s="3">
        <v>1</v>
      </c>
      <c r="E51" s="3">
        <v>7000</v>
      </c>
    </row>
    <row r="52" spans="1:5" x14ac:dyDescent="0.3">
      <c r="A52" s="4" t="s">
        <v>861</v>
      </c>
      <c r="B52" s="4" t="s">
        <v>275</v>
      </c>
      <c r="C52" s="3">
        <v>8</v>
      </c>
      <c r="D52" s="3">
        <v>1</v>
      </c>
      <c r="E52" s="3">
        <v>7000</v>
      </c>
    </row>
    <row r="53" spans="1:5" x14ac:dyDescent="0.3">
      <c r="A53" s="4" t="s">
        <v>862</v>
      </c>
      <c r="B53" s="4" t="s">
        <v>277</v>
      </c>
      <c r="C53" s="3">
        <v>8.1999999999999993</v>
      </c>
      <c r="D53" s="3">
        <v>1</v>
      </c>
      <c r="E53" s="3">
        <v>7000</v>
      </c>
    </row>
    <row r="54" spans="1:5" x14ac:dyDescent="0.3">
      <c r="A54" s="4" t="s">
        <v>863</v>
      </c>
      <c r="B54" s="4" t="s">
        <v>285</v>
      </c>
      <c r="C54" s="3">
        <v>10.4</v>
      </c>
      <c r="D54" s="3">
        <v>1</v>
      </c>
      <c r="E54" s="3">
        <v>7000</v>
      </c>
    </row>
    <row r="55" spans="1:5" x14ac:dyDescent="0.3">
      <c r="A55" s="4" t="s">
        <v>864</v>
      </c>
      <c r="B55" s="4" t="s">
        <v>286</v>
      </c>
      <c r="C55" s="3">
        <v>12</v>
      </c>
      <c r="D55" s="3">
        <v>1</v>
      </c>
      <c r="E55" s="3">
        <v>7000</v>
      </c>
    </row>
    <row r="56" spans="1:5" x14ac:dyDescent="0.3">
      <c r="A56" s="4" t="s">
        <v>865</v>
      </c>
      <c r="B56" s="4" t="s">
        <v>290</v>
      </c>
      <c r="C56" s="3">
        <v>19.399999999999999</v>
      </c>
      <c r="D56" s="3">
        <v>1</v>
      </c>
      <c r="E56" s="3">
        <v>7000</v>
      </c>
    </row>
    <row r="57" spans="1:5" x14ac:dyDescent="0.3">
      <c r="A57" s="4" t="s">
        <v>866</v>
      </c>
      <c r="B57" s="4" t="s">
        <v>293</v>
      </c>
      <c r="C57" s="3">
        <v>14.1</v>
      </c>
      <c r="D57" s="3">
        <v>1</v>
      </c>
      <c r="E57" s="3">
        <v>7000</v>
      </c>
    </row>
    <row r="58" spans="1:5" x14ac:dyDescent="0.3">
      <c r="A58" s="4" t="s">
        <v>867</v>
      </c>
      <c r="B58" s="4" t="s">
        <v>296</v>
      </c>
      <c r="C58" s="3">
        <v>4.7</v>
      </c>
      <c r="D58" s="3">
        <v>1</v>
      </c>
      <c r="E58" s="3">
        <v>7000</v>
      </c>
    </row>
    <row r="59" spans="1:5" x14ac:dyDescent="0.3">
      <c r="A59" s="4" t="s">
        <v>868</v>
      </c>
      <c r="B59" s="4" t="s">
        <v>319</v>
      </c>
      <c r="C59" s="3">
        <v>0</v>
      </c>
      <c r="D59" s="3">
        <v>1</v>
      </c>
      <c r="E59" s="3">
        <v>7000</v>
      </c>
    </row>
    <row r="60" spans="1:5" x14ac:dyDescent="0.3">
      <c r="A60" s="4" t="s">
        <v>869</v>
      </c>
      <c r="B60" s="4" t="s">
        <v>319</v>
      </c>
      <c r="C60" s="3">
        <v>14.9</v>
      </c>
      <c r="D60" s="3">
        <v>1</v>
      </c>
      <c r="E60" s="3">
        <v>7000</v>
      </c>
    </row>
    <row r="61" spans="1:5" x14ac:dyDescent="0.3">
      <c r="A61" s="4" t="s">
        <v>870</v>
      </c>
      <c r="B61" s="4" t="s">
        <v>321</v>
      </c>
      <c r="C61" s="3">
        <v>4.8</v>
      </c>
      <c r="D61" s="3">
        <v>1</v>
      </c>
      <c r="E61" s="3">
        <v>7000</v>
      </c>
    </row>
    <row r="62" spans="1:5" x14ac:dyDescent="0.3">
      <c r="A62" s="4" t="s">
        <v>871</v>
      </c>
      <c r="B62" s="4" t="s">
        <v>325</v>
      </c>
      <c r="C62" s="3">
        <v>18.3</v>
      </c>
      <c r="D62" s="3">
        <v>1</v>
      </c>
      <c r="E62" s="3">
        <v>7000</v>
      </c>
    </row>
    <row r="63" spans="1:5" x14ac:dyDescent="0.3">
      <c r="A63" s="4" t="s">
        <v>872</v>
      </c>
      <c r="B63" s="4" t="s">
        <v>332</v>
      </c>
      <c r="C63" s="3">
        <v>3.3</v>
      </c>
      <c r="D63" s="3">
        <v>1</v>
      </c>
      <c r="E63" s="3">
        <v>7000</v>
      </c>
    </row>
    <row r="64" spans="1:5" x14ac:dyDescent="0.3">
      <c r="A64" s="4" t="s">
        <v>873</v>
      </c>
      <c r="B64" s="4" t="s">
        <v>335</v>
      </c>
      <c r="C64" s="3">
        <v>15.1</v>
      </c>
      <c r="D64" s="3">
        <v>1</v>
      </c>
      <c r="E64" s="3">
        <v>7000</v>
      </c>
    </row>
    <row r="65" spans="1:5" x14ac:dyDescent="0.3">
      <c r="A65" s="4" t="s">
        <v>874</v>
      </c>
      <c r="B65" s="4" t="s">
        <v>338</v>
      </c>
      <c r="C65" s="3">
        <v>10.7</v>
      </c>
      <c r="D65" s="3">
        <v>1</v>
      </c>
      <c r="E65" s="3">
        <v>7000</v>
      </c>
    </row>
    <row r="66" spans="1:5" x14ac:dyDescent="0.3">
      <c r="A66" s="4" t="s">
        <v>875</v>
      </c>
      <c r="B66" s="4" t="s">
        <v>340</v>
      </c>
      <c r="C66" s="3">
        <v>10.1</v>
      </c>
      <c r="D66" s="3">
        <v>1</v>
      </c>
      <c r="E66" s="3">
        <v>7000</v>
      </c>
    </row>
    <row r="67" spans="1:5" x14ac:dyDescent="0.3">
      <c r="A67" s="4" t="s">
        <v>876</v>
      </c>
      <c r="B67" s="4" t="s">
        <v>344</v>
      </c>
      <c r="C67" s="3">
        <v>23.9</v>
      </c>
      <c r="D67" s="3">
        <v>1</v>
      </c>
      <c r="E67" s="3">
        <v>7000</v>
      </c>
    </row>
    <row r="68" spans="1:5" x14ac:dyDescent="0.3">
      <c r="A68" s="4" t="s">
        <v>877</v>
      </c>
      <c r="B68" s="4" t="s">
        <v>345</v>
      </c>
      <c r="C68" s="3">
        <v>8.9</v>
      </c>
      <c r="D68" s="3">
        <v>1</v>
      </c>
      <c r="E68" s="3">
        <v>7000</v>
      </c>
    </row>
    <row r="69" spans="1:5" x14ac:dyDescent="0.3">
      <c r="A69" s="4" t="s">
        <v>878</v>
      </c>
      <c r="B69" s="4" t="s">
        <v>353</v>
      </c>
      <c r="C69" s="3">
        <v>12.9</v>
      </c>
      <c r="D69" s="3">
        <v>1</v>
      </c>
      <c r="E69" s="3">
        <v>7000</v>
      </c>
    </row>
    <row r="70" spans="1:5" x14ac:dyDescent="0.3">
      <c r="A70" s="4" t="s">
        <v>879</v>
      </c>
      <c r="B70" s="4" t="s">
        <v>357</v>
      </c>
      <c r="C70" s="3">
        <v>24.4</v>
      </c>
      <c r="D70" s="3">
        <v>1</v>
      </c>
      <c r="E70" s="3">
        <v>7000</v>
      </c>
    </row>
    <row r="71" spans="1:5" x14ac:dyDescent="0.3">
      <c r="A71" s="4" t="s">
        <v>880</v>
      </c>
      <c r="B71" s="4" t="s">
        <v>358</v>
      </c>
      <c r="C71" s="3">
        <v>24.3</v>
      </c>
      <c r="D71" s="3">
        <v>1</v>
      </c>
      <c r="E71" s="3">
        <v>7000</v>
      </c>
    </row>
    <row r="72" spans="1:5" x14ac:dyDescent="0.3">
      <c r="A72" s="4" t="s">
        <v>881</v>
      </c>
      <c r="B72" s="4" t="s">
        <v>369</v>
      </c>
      <c r="C72" s="3">
        <v>26.4</v>
      </c>
      <c r="D72" s="3">
        <v>1</v>
      </c>
      <c r="E72" s="3">
        <v>7000</v>
      </c>
    </row>
    <row r="73" spans="1:5" x14ac:dyDescent="0.3">
      <c r="A73" s="4" t="s">
        <v>882</v>
      </c>
      <c r="B73" s="4" t="s">
        <v>372</v>
      </c>
      <c r="C73" s="3">
        <v>9.3000000000000007</v>
      </c>
      <c r="D73" s="3">
        <v>1</v>
      </c>
      <c r="E73" s="3">
        <v>7000</v>
      </c>
    </row>
    <row r="74" spans="1:5" x14ac:dyDescent="0.3">
      <c r="A74" s="4" t="s">
        <v>883</v>
      </c>
      <c r="B74" s="4" t="s">
        <v>373</v>
      </c>
      <c r="C74" s="3">
        <v>22</v>
      </c>
      <c r="D74" s="3">
        <v>1</v>
      </c>
      <c r="E74" s="3">
        <v>7000</v>
      </c>
    </row>
    <row r="75" spans="1:5" x14ac:dyDescent="0.3">
      <c r="A75" s="4" t="s">
        <v>884</v>
      </c>
      <c r="B75" s="4" t="s">
        <v>377</v>
      </c>
      <c r="C75" s="3">
        <v>17.399999999999999</v>
      </c>
      <c r="D75" s="3">
        <v>1</v>
      </c>
      <c r="E75" s="3">
        <v>7000</v>
      </c>
    </row>
    <row r="76" spans="1:5" x14ac:dyDescent="0.3">
      <c r="A76" s="4" t="s">
        <v>885</v>
      </c>
      <c r="B76" s="4" t="s">
        <v>386</v>
      </c>
      <c r="C76" s="3">
        <v>9.4</v>
      </c>
      <c r="D76" s="3">
        <v>1</v>
      </c>
      <c r="E76" s="3">
        <v>7000</v>
      </c>
    </row>
    <row r="77" spans="1:5" x14ac:dyDescent="0.3">
      <c r="A77" s="4" t="s">
        <v>886</v>
      </c>
      <c r="B77" s="4" t="s">
        <v>380</v>
      </c>
      <c r="C77" s="3">
        <v>181.2</v>
      </c>
      <c r="D77" s="3">
        <v>1</v>
      </c>
      <c r="E77" s="3">
        <v>7000</v>
      </c>
    </row>
    <row r="78" spans="1:5" x14ac:dyDescent="0.3">
      <c r="A78" s="4" t="s">
        <v>887</v>
      </c>
      <c r="B78" s="4" t="s">
        <v>392</v>
      </c>
      <c r="C78" s="3">
        <v>5.0999999999999996</v>
      </c>
      <c r="D78" s="3">
        <v>1</v>
      </c>
      <c r="E78" s="3">
        <v>7000</v>
      </c>
    </row>
    <row r="79" spans="1:5" x14ac:dyDescent="0.3">
      <c r="A79" s="4" t="s">
        <v>888</v>
      </c>
      <c r="B79" s="4" t="s">
        <v>395</v>
      </c>
      <c r="C79" s="3">
        <v>34.1</v>
      </c>
      <c r="D79" s="3">
        <v>1</v>
      </c>
      <c r="E79" s="3">
        <v>7000</v>
      </c>
    </row>
    <row r="80" spans="1:5" x14ac:dyDescent="0.3">
      <c r="A80" s="4" t="s">
        <v>889</v>
      </c>
      <c r="B80" s="4" t="s">
        <v>403</v>
      </c>
      <c r="C80" s="3">
        <v>5.5</v>
      </c>
      <c r="D80" s="3">
        <v>1</v>
      </c>
      <c r="E80" s="3">
        <v>7000</v>
      </c>
    </row>
    <row r="81" spans="1:5" x14ac:dyDescent="0.3">
      <c r="A81" s="4" t="s">
        <v>890</v>
      </c>
      <c r="B81" s="4" t="s">
        <v>407</v>
      </c>
      <c r="C81" s="3">
        <v>11.4</v>
      </c>
      <c r="D81" s="3">
        <v>1</v>
      </c>
      <c r="E81" s="3">
        <v>7000</v>
      </c>
    </row>
    <row r="82" spans="1:5" x14ac:dyDescent="0.3">
      <c r="A82" s="4" t="s">
        <v>891</v>
      </c>
      <c r="B82" s="4" t="s">
        <v>411</v>
      </c>
      <c r="C82" s="3">
        <v>5</v>
      </c>
      <c r="D82" s="3">
        <v>1</v>
      </c>
      <c r="E82" s="3">
        <v>7000</v>
      </c>
    </row>
    <row r="83" spans="1:5" x14ac:dyDescent="0.3">
      <c r="A83" s="4" t="s">
        <v>892</v>
      </c>
      <c r="B83" s="4" t="s">
        <v>415</v>
      </c>
      <c r="C83" s="3">
        <v>8.4</v>
      </c>
      <c r="D83" s="3">
        <v>1</v>
      </c>
      <c r="E83" s="3">
        <v>7000</v>
      </c>
    </row>
    <row r="84" spans="1:5" x14ac:dyDescent="0.3">
      <c r="A84" s="4" t="s">
        <v>893</v>
      </c>
      <c r="B84" s="4" t="s">
        <v>434</v>
      </c>
      <c r="C84" s="3">
        <v>22.5</v>
      </c>
      <c r="D84" s="3">
        <v>1</v>
      </c>
      <c r="E84" s="3">
        <v>7000</v>
      </c>
    </row>
    <row r="85" spans="1:5" x14ac:dyDescent="0.3">
      <c r="A85" s="4" t="s">
        <v>894</v>
      </c>
      <c r="B85" s="4" t="s">
        <v>441</v>
      </c>
      <c r="C85" s="3">
        <v>6.5</v>
      </c>
      <c r="D85" s="3">
        <v>1</v>
      </c>
      <c r="E85" s="3">
        <v>7000</v>
      </c>
    </row>
    <row r="86" spans="1:5" x14ac:dyDescent="0.3">
      <c r="A86" s="4" t="s">
        <v>895</v>
      </c>
      <c r="B86" s="4" t="s">
        <v>441</v>
      </c>
      <c r="C86" s="3">
        <v>22.8</v>
      </c>
      <c r="D86" s="3">
        <v>1</v>
      </c>
      <c r="E86" s="3">
        <v>7000</v>
      </c>
    </row>
    <row r="87" spans="1:5" x14ac:dyDescent="0.3">
      <c r="A87" s="4" t="s">
        <v>896</v>
      </c>
      <c r="B87" s="4" t="s">
        <v>451</v>
      </c>
      <c r="C87" s="3">
        <v>0</v>
      </c>
      <c r="D87" s="3">
        <v>1</v>
      </c>
      <c r="E87" s="3">
        <v>7000</v>
      </c>
    </row>
    <row r="88" spans="1:5" x14ac:dyDescent="0.3">
      <c r="A88" s="4" t="s">
        <v>897</v>
      </c>
      <c r="B88" s="4" t="s">
        <v>455</v>
      </c>
      <c r="C88" s="3">
        <v>9.6999999999999993</v>
      </c>
      <c r="D88" s="3">
        <v>1</v>
      </c>
      <c r="E88" s="3">
        <v>7000</v>
      </c>
    </row>
    <row r="89" spans="1:5" x14ac:dyDescent="0.3">
      <c r="A89" s="4" t="s">
        <v>898</v>
      </c>
      <c r="B89" s="4" t="s">
        <v>459</v>
      </c>
      <c r="C89" s="3">
        <v>342.7</v>
      </c>
      <c r="D89" s="3">
        <v>1</v>
      </c>
      <c r="E89" s="3">
        <v>7000</v>
      </c>
    </row>
    <row r="90" spans="1:5" x14ac:dyDescent="0.3">
      <c r="A90" s="4" t="s">
        <v>899</v>
      </c>
      <c r="B90" s="4" t="s">
        <v>465</v>
      </c>
      <c r="C90" s="3">
        <v>20.3</v>
      </c>
      <c r="D90" s="3">
        <v>1</v>
      </c>
      <c r="E90" s="3">
        <v>7000</v>
      </c>
    </row>
    <row r="91" spans="1:5" x14ac:dyDescent="0.3">
      <c r="A91" s="4" t="s">
        <v>900</v>
      </c>
      <c r="B91" s="4" t="s">
        <v>469</v>
      </c>
      <c r="C91" s="3">
        <v>0</v>
      </c>
      <c r="D91" s="3">
        <v>1</v>
      </c>
      <c r="E91" s="3">
        <v>7000</v>
      </c>
    </row>
    <row r="92" spans="1:5" x14ac:dyDescent="0.3">
      <c r="A92" s="4" t="s">
        <v>901</v>
      </c>
      <c r="B92" s="4" t="s">
        <v>474</v>
      </c>
      <c r="C92" s="3">
        <v>15.3</v>
      </c>
      <c r="D92" s="3">
        <v>1</v>
      </c>
      <c r="E92" s="3">
        <v>7000</v>
      </c>
    </row>
    <row r="93" spans="1:5" x14ac:dyDescent="0.3">
      <c r="A93" s="4" t="s">
        <v>902</v>
      </c>
      <c r="B93" s="4" t="s">
        <v>516</v>
      </c>
      <c r="C93" s="3">
        <v>0</v>
      </c>
      <c r="D93" s="3">
        <v>1</v>
      </c>
      <c r="E93" s="3">
        <v>7000</v>
      </c>
    </row>
    <row r="94" spans="1:5" x14ac:dyDescent="0.3">
      <c r="A94" s="4" t="s">
        <v>903</v>
      </c>
      <c r="B94" s="4" t="s">
        <v>517</v>
      </c>
      <c r="C94" s="3">
        <v>9.8000000000000007</v>
      </c>
      <c r="D94" s="3">
        <v>1</v>
      </c>
      <c r="E94" s="3">
        <v>7000</v>
      </c>
    </row>
    <row r="95" spans="1:5" x14ac:dyDescent="0.3">
      <c r="A95" s="4" t="s">
        <v>904</v>
      </c>
      <c r="B95" s="4" t="s">
        <v>477</v>
      </c>
      <c r="C95" s="3">
        <v>10.199999999999999</v>
      </c>
      <c r="D95" s="3">
        <v>1</v>
      </c>
      <c r="E95" s="3">
        <v>7000</v>
      </c>
    </row>
    <row r="96" spans="1:5" x14ac:dyDescent="0.3">
      <c r="A96" s="4" t="s">
        <v>905</v>
      </c>
      <c r="B96" s="4" t="s">
        <v>479</v>
      </c>
      <c r="C96" s="3">
        <v>18.899999999999999</v>
      </c>
      <c r="D96" s="3">
        <v>1</v>
      </c>
      <c r="E96" s="3">
        <v>7000</v>
      </c>
    </row>
    <row r="97" spans="1:5" x14ac:dyDescent="0.3">
      <c r="A97" s="4" t="s">
        <v>906</v>
      </c>
      <c r="B97" s="4" t="s">
        <v>483</v>
      </c>
      <c r="C97" s="3">
        <v>9.4</v>
      </c>
      <c r="D97" s="3">
        <v>1</v>
      </c>
      <c r="E97" s="3">
        <v>7000</v>
      </c>
    </row>
    <row r="98" spans="1:5" x14ac:dyDescent="0.3">
      <c r="A98" s="4" t="s">
        <v>907</v>
      </c>
      <c r="B98" s="4" t="s">
        <v>500</v>
      </c>
      <c r="C98" s="3">
        <v>14.7</v>
      </c>
      <c r="D98" s="3">
        <v>1</v>
      </c>
      <c r="E98" s="3">
        <v>7000</v>
      </c>
    </row>
    <row r="99" spans="1:5" x14ac:dyDescent="0.3">
      <c r="A99" s="4" t="s">
        <v>908</v>
      </c>
      <c r="B99" s="4" t="s">
        <v>519</v>
      </c>
      <c r="C99" s="3">
        <v>5</v>
      </c>
      <c r="D99" s="3">
        <v>1</v>
      </c>
      <c r="E99" s="3">
        <v>7000</v>
      </c>
    </row>
    <row r="100" spans="1:5" x14ac:dyDescent="0.3">
      <c r="A100" s="4" t="s">
        <v>909</v>
      </c>
      <c r="B100" s="4" t="s">
        <v>523</v>
      </c>
      <c r="C100" s="3">
        <v>23.7</v>
      </c>
      <c r="D100" s="3">
        <v>1</v>
      </c>
      <c r="E100" s="3">
        <v>7000</v>
      </c>
    </row>
    <row r="101" spans="1:5" x14ac:dyDescent="0.3">
      <c r="A101" s="11" t="s">
        <v>910</v>
      </c>
      <c r="B101" s="11" t="s">
        <v>525</v>
      </c>
      <c r="C101" s="12">
        <v>0</v>
      </c>
      <c r="D101" s="12">
        <v>1</v>
      </c>
      <c r="E101" s="12">
        <v>7000</v>
      </c>
    </row>
    <row r="102" spans="1:5" x14ac:dyDescent="0.3">
      <c r="A102" s="4" t="s">
        <v>911</v>
      </c>
      <c r="B102" s="4" t="s">
        <v>526</v>
      </c>
      <c r="C102" s="3">
        <v>4.5999999999999996</v>
      </c>
      <c r="D102" s="3">
        <v>1</v>
      </c>
      <c r="E102" s="3">
        <v>7000</v>
      </c>
    </row>
    <row r="103" spans="1:5" x14ac:dyDescent="0.3">
      <c r="A103" s="4" t="s">
        <v>912</v>
      </c>
      <c r="B103" s="4" t="s">
        <v>529</v>
      </c>
      <c r="C103" s="3">
        <v>12.4</v>
      </c>
      <c r="D103" s="3">
        <v>1</v>
      </c>
      <c r="E103" s="3">
        <v>7000</v>
      </c>
    </row>
    <row r="104" spans="1:5" x14ac:dyDescent="0.3">
      <c r="A104" s="4" t="s">
        <v>913</v>
      </c>
      <c r="B104" s="4" t="s">
        <v>530</v>
      </c>
      <c r="C104" s="3">
        <v>17.899999999999999</v>
      </c>
      <c r="D104" s="3">
        <v>1</v>
      </c>
      <c r="E104" s="3">
        <v>7000</v>
      </c>
    </row>
    <row r="105" spans="1:5" x14ac:dyDescent="0.3">
      <c r="A105" s="4" t="s">
        <v>914</v>
      </c>
      <c r="B105" s="4" t="s">
        <v>533</v>
      </c>
      <c r="C105" s="3">
        <v>7.9</v>
      </c>
      <c r="D105" s="3">
        <v>1</v>
      </c>
      <c r="E105" s="3">
        <v>7000</v>
      </c>
    </row>
    <row r="106" spans="1:5" x14ac:dyDescent="0.3">
      <c r="A106" s="4" t="s">
        <v>915</v>
      </c>
      <c r="B106" s="4" t="s">
        <v>535</v>
      </c>
      <c r="C106" s="3">
        <v>30.1</v>
      </c>
      <c r="D106" s="3">
        <v>1</v>
      </c>
      <c r="E106" s="3">
        <v>7000</v>
      </c>
    </row>
    <row r="107" spans="1:5" x14ac:dyDescent="0.3">
      <c r="A107" s="4" t="s">
        <v>916</v>
      </c>
      <c r="B107" s="4" t="s">
        <v>538</v>
      </c>
      <c r="C107" s="3">
        <v>6.1</v>
      </c>
      <c r="D107" s="3">
        <v>1</v>
      </c>
      <c r="E107" s="3">
        <v>7000</v>
      </c>
    </row>
    <row r="108" spans="1:5" x14ac:dyDescent="0.3">
      <c r="A108" s="4" t="s">
        <v>917</v>
      </c>
      <c r="B108" s="4" t="s">
        <v>539</v>
      </c>
      <c r="C108" s="3">
        <v>9.6999999999999993</v>
      </c>
      <c r="D108" s="3">
        <v>1</v>
      </c>
      <c r="E108" s="3">
        <v>7000</v>
      </c>
    </row>
    <row r="109" spans="1:5" x14ac:dyDescent="0.3">
      <c r="A109" s="4" t="s">
        <v>918</v>
      </c>
      <c r="B109" s="4" t="s">
        <v>543</v>
      </c>
      <c r="C109" s="3">
        <v>22.9</v>
      </c>
      <c r="D109" s="3">
        <v>1</v>
      </c>
      <c r="E109" s="3">
        <v>7000</v>
      </c>
    </row>
    <row r="110" spans="1:5" x14ac:dyDescent="0.3">
      <c r="A110" s="4" t="s">
        <v>919</v>
      </c>
      <c r="B110" s="4" t="s">
        <v>545</v>
      </c>
      <c r="C110" s="3">
        <v>11.4</v>
      </c>
      <c r="D110" s="3">
        <v>1</v>
      </c>
      <c r="E110" s="3">
        <v>7000</v>
      </c>
    </row>
    <row r="111" spans="1:5" x14ac:dyDescent="0.3">
      <c r="A111" s="4" t="s">
        <v>920</v>
      </c>
      <c r="B111" s="4" t="s">
        <v>548</v>
      </c>
      <c r="C111" s="3">
        <v>10.7</v>
      </c>
      <c r="D111" s="3">
        <v>1</v>
      </c>
      <c r="E111" s="3">
        <v>7000</v>
      </c>
    </row>
    <row r="112" spans="1:5" x14ac:dyDescent="0.3">
      <c r="A112" s="4" t="s">
        <v>921</v>
      </c>
      <c r="B112" s="4" t="s">
        <v>564</v>
      </c>
      <c r="C112" s="3">
        <v>7.1</v>
      </c>
      <c r="D112" s="3">
        <v>1</v>
      </c>
      <c r="E112" s="3">
        <v>7000</v>
      </c>
    </row>
    <row r="113" spans="1:5" x14ac:dyDescent="0.3">
      <c r="A113" s="4" t="s">
        <v>922</v>
      </c>
      <c r="B113" s="4" t="s">
        <v>568</v>
      </c>
      <c r="C113" s="3">
        <v>12.9</v>
      </c>
      <c r="D113" s="3">
        <v>1</v>
      </c>
      <c r="E113" s="3">
        <v>7000</v>
      </c>
    </row>
    <row r="114" spans="1:5" x14ac:dyDescent="0.3">
      <c r="A114" s="4" t="s">
        <v>923</v>
      </c>
      <c r="B114" s="4" t="s">
        <v>576</v>
      </c>
      <c r="C114" s="3">
        <v>4.5999999999999996</v>
      </c>
      <c r="D114" s="3">
        <v>1</v>
      </c>
      <c r="E114" s="3">
        <v>7000</v>
      </c>
    </row>
    <row r="115" spans="1:5" x14ac:dyDescent="0.3">
      <c r="A115" s="4" t="s">
        <v>924</v>
      </c>
      <c r="B115" s="4" t="s">
        <v>581</v>
      </c>
      <c r="C115" s="3">
        <v>9.8000000000000007</v>
      </c>
      <c r="D115" s="3">
        <v>1</v>
      </c>
      <c r="E115" s="3">
        <v>7000</v>
      </c>
    </row>
    <row r="116" spans="1:5" x14ac:dyDescent="0.3">
      <c r="A116" s="4" t="s">
        <v>925</v>
      </c>
      <c r="B116" s="4" t="s">
        <v>583</v>
      </c>
      <c r="C116" s="3">
        <v>21.1</v>
      </c>
      <c r="D116" s="3">
        <v>1</v>
      </c>
      <c r="E116" s="3">
        <v>7000</v>
      </c>
    </row>
    <row r="117" spans="1:5" x14ac:dyDescent="0.3">
      <c r="A117" s="4" t="s">
        <v>926</v>
      </c>
      <c r="B117" s="4" t="s">
        <v>592</v>
      </c>
      <c r="C117" s="3">
        <v>4.5</v>
      </c>
      <c r="D117" s="3">
        <v>1</v>
      </c>
      <c r="E117" s="3">
        <v>7000</v>
      </c>
    </row>
    <row r="118" spans="1:5" x14ac:dyDescent="0.3">
      <c r="A118" s="4" t="s">
        <v>927</v>
      </c>
      <c r="B118" s="4" t="s">
        <v>595</v>
      </c>
      <c r="C118" s="3">
        <v>4.8</v>
      </c>
      <c r="D118" s="3">
        <v>1</v>
      </c>
      <c r="E118" s="3">
        <v>7000</v>
      </c>
    </row>
    <row r="119" spans="1:5" x14ac:dyDescent="0.3">
      <c r="A119" s="4" t="s">
        <v>928</v>
      </c>
      <c r="B119" s="4" t="s">
        <v>597</v>
      </c>
      <c r="C119" s="3">
        <v>10.1</v>
      </c>
      <c r="D119" s="3">
        <v>1</v>
      </c>
      <c r="E119" s="3">
        <v>7000</v>
      </c>
    </row>
    <row r="120" spans="1:5" x14ac:dyDescent="0.3">
      <c r="A120" s="4" t="s">
        <v>929</v>
      </c>
      <c r="B120" s="4" t="s">
        <v>605</v>
      </c>
      <c r="C120" s="3">
        <v>4.7</v>
      </c>
      <c r="D120" s="3">
        <v>1</v>
      </c>
      <c r="E120" s="3">
        <v>7000</v>
      </c>
    </row>
    <row r="121" spans="1:5" x14ac:dyDescent="0.3">
      <c r="A121" s="4" t="s">
        <v>930</v>
      </c>
      <c r="B121" s="4" t="s">
        <v>608</v>
      </c>
      <c r="C121" s="3">
        <v>0</v>
      </c>
      <c r="D121" s="3">
        <v>1</v>
      </c>
      <c r="E121" s="3">
        <v>7000</v>
      </c>
    </row>
    <row r="122" spans="1:5" x14ac:dyDescent="0.3">
      <c r="A122" s="4" t="s">
        <v>931</v>
      </c>
      <c r="B122" s="4" t="s">
        <v>609</v>
      </c>
      <c r="C122" s="3">
        <v>13.5</v>
      </c>
      <c r="D122" s="3">
        <v>1</v>
      </c>
      <c r="E122" s="3">
        <v>7000</v>
      </c>
    </row>
    <row r="123" spans="1:5" x14ac:dyDescent="0.3">
      <c r="A123" s="4" t="s">
        <v>932</v>
      </c>
      <c r="B123" s="4" t="s">
        <v>594</v>
      </c>
      <c r="C123" s="3">
        <v>0</v>
      </c>
      <c r="D123" s="3">
        <v>1</v>
      </c>
      <c r="E123" s="3">
        <v>7000</v>
      </c>
    </row>
    <row r="124" spans="1:5" x14ac:dyDescent="0.3">
      <c r="A124" s="4" t="s">
        <v>933</v>
      </c>
      <c r="B124" s="4" t="s">
        <v>613</v>
      </c>
      <c r="C124" s="3">
        <v>13.1</v>
      </c>
      <c r="D124" s="3">
        <v>1</v>
      </c>
      <c r="E124" s="3">
        <v>7000</v>
      </c>
    </row>
    <row r="125" spans="1:5" x14ac:dyDescent="0.3">
      <c r="A125" s="4" t="s">
        <v>934</v>
      </c>
      <c r="B125" s="4" t="s">
        <v>615</v>
      </c>
      <c r="C125" s="3">
        <v>21.5</v>
      </c>
      <c r="D125" s="3">
        <v>1</v>
      </c>
      <c r="E125" s="3">
        <v>7000</v>
      </c>
    </row>
    <row r="126" spans="1:5" x14ac:dyDescent="0.3">
      <c r="A126" s="4" t="s">
        <v>935</v>
      </c>
      <c r="B126" s="4" t="s">
        <v>620</v>
      </c>
      <c r="C126" s="3">
        <v>11.1</v>
      </c>
      <c r="D126" s="3">
        <v>1</v>
      </c>
      <c r="E126" s="3">
        <v>7000</v>
      </c>
    </row>
    <row r="127" spans="1:5" x14ac:dyDescent="0.3">
      <c r="A127" s="4" t="s">
        <v>936</v>
      </c>
      <c r="B127" s="4" t="s">
        <v>621</v>
      </c>
      <c r="C127" s="3">
        <v>17.7</v>
      </c>
      <c r="D127" s="3">
        <v>1</v>
      </c>
      <c r="E127" s="3">
        <v>7000</v>
      </c>
    </row>
    <row r="128" spans="1:5" x14ac:dyDescent="0.3">
      <c r="A128" s="4" t="s">
        <v>937</v>
      </c>
      <c r="B128" s="4" t="s">
        <v>626</v>
      </c>
      <c r="C128" s="3">
        <v>13.2</v>
      </c>
      <c r="D128" s="3">
        <v>1</v>
      </c>
      <c r="E128" s="3">
        <v>7000</v>
      </c>
    </row>
    <row r="129" spans="1:5" x14ac:dyDescent="0.3">
      <c r="A129" s="4" t="s">
        <v>938</v>
      </c>
      <c r="B129" s="4" t="s">
        <v>630</v>
      </c>
      <c r="C129" s="3">
        <v>21.4</v>
      </c>
      <c r="D129" s="3">
        <v>1</v>
      </c>
      <c r="E129" s="3">
        <v>7000</v>
      </c>
    </row>
    <row r="130" spans="1:5" x14ac:dyDescent="0.3">
      <c r="A130" s="4" t="s">
        <v>939</v>
      </c>
      <c r="B130" s="4" t="s">
        <v>625</v>
      </c>
      <c r="C130" s="3">
        <v>8.1999999999999993</v>
      </c>
      <c r="D130" s="3">
        <v>1</v>
      </c>
      <c r="E130" s="3">
        <v>7000</v>
      </c>
    </row>
    <row r="131" spans="1:5" x14ac:dyDescent="0.3">
      <c r="A131" s="4" t="s">
        <v>940</v>
      </c>
      <c r="B131" s="4" t="s">
        <v>635</v>
      </c>
      <c r="C131" s="3">
        <v>0</v>
      </c>
      <c r="D131" s="3">
        <v>1</v>
      </c>
      <c r="E131" s="3">
        <v>7000</v>
      </c>
    </row>
    <row r="132" spans="1:5" x14ac:dyDescent="0.3">
      <c r="A132" s="4" t="s">
        <v>941</v>
      </c>
      <c r="B132" s="4" t="s">
        <v>636</v>
      </c>
      <c r="C132" s="3">
        <v>0.3</v>
      </c>
      <c r="D132" s="3">
        <v>1</v>
      </c>
      <c r="E132" s="3">
        <v>7000</v>
      </c>
    </row>
    <row r="133" spans="1:5" x14ac:dyDescent="0.3">
      <c r="A133" s="4" t="s">
        <v>942</v>
      </c>
      <c r="B133" s="4" t="s">
        <v>639</v>
      </c>
      <c r="C133" s="3">
        <v>17.3</v>
      </c>
      <c r="D133" s="3">
        <v>1</v>
      </c>
      <c r="E133" s="3">
        <v>7000</v>
      </c>
    </row>
    <row r="134" spans="1:5" x14ac:dyDescent="0.3">
      <c r="A134" s="4" t="s">
        <v>943</v>
      </c>
      <c r="B134" s="4" t="s">
        <v>645</v>
      </c>
      <c r="C134" s="3">
        <v>10.6</v>
      </c>
      <c r="D134" s="3">
        <v>1</v>
      </c>
      <c r="E134" s="3">
        <v>7000</v>
      </c>
    </row>
    <row r="135" spans="1:5" x14ac:dyDescent="0.3">
      <c r="A135" s="4" t="s">
        <v>944</v>
      </c>
      <c r="B135" s="4" t="s">
        <v>655</v>
      </c>
      <c r="C135" s="3">
        <v>18</v>
      </c>
      <c r="D135" s="3">
        <v>1</v>
      </c>
      <c r="E135" s="3">
        <v>7000</v>
      </c>
    </row>
    <row r="136" spans="1:5" x14ac:dyDescent="0.3">
      <c r="A136" s="4" t="s">
        <v>945</v>
      </c>
      <c r="B136" s="4" t="s">
        <v>651</v>
      </c>
      <c r="C136" s="3">
        <v>74</v>
      </c>
      <c r="D136" s="3">
        <v>1</v>
      </c>
      <c r="E136" s="3">
        <v>7000</v>
      </c>
    </row>
    <row r="137" spans="1:5" x14ac:dyDescent="0.3">
      <c r="A137" s="4" t="s">
        <v>946</v>
      </c>
      <c r="B137" s="4" t="s">
        <v>657</v>
      </c>
      <c r="C137" s="3">
        <v>17.600000000000001</v>
      </c>
      <c r="D137" s="3">
        <v>1</v>
      </c>
      <c r="E137" s="3">
        <v>7000</v>
      </c>
    </row>
    <row r="138" spans="1:5" x14ac:dyDescent="0.3">
      <c r="A138" s="4" t="s">
        <v>947</v>
      </c>
      <c r="B138" s="4" t="s">
        <v>671</v>
      </c>
      <c r="C138" s="3">
        <v>9.6999999999999993</v>
      </c>
      <c r="D138" s="3">
        <v>1</v>
      </c>
      <c r="E138" s="3">
        <v>7000</v>
      </c>
    </row>
    <row r="139" spans="1:5" x14ac:dyDescent="0.3">
      <c r="A139" s="4" t="s">
        <v>948</v>
      </c>
      <c r="B139" s="4" t="s">
        <v>674</v>
      </c>
      <c r="C139" s="3">
        <v>14.7</v>
      </c>
      <c r="D139" s="3">
        <v>1</v>
      </c>
      <c r="E139" s="3">
        <v>7000</v>
      </c>
    </row>
    <row r="140" spans="1:5" x14ac:dyDescent="0.3">
      <c r="A140" s="4" t="s">
        <v>949</v>
      </c>
      <c r="B140" s="4" t="s">
        <v>679</v>
      </c>
      <c r="C140" s="3">
        <v>11.9</v>
      </c>
      <c r="D140" s="3">
        <v>1</v>
      </c>
      <c r="E140" s="3">
        <v>7000</v>
      </c>
    </row>
    <row r="141" spans="1:5" x14ac:dyDescent="0.3">
      <c r="A141" s="4" t="s">
        <v>950</v>
      </c>
      <c r="B141" s="4" t="s">
        <v>681</v>
      </c>
      <c r="C141" s="3">
        <v>9.1</v>
      </c>
      <c r="D141" s="3">
        <v>1</v>
      </c>
      <c r="E141" s="3">
        <v>7000</v>
      </c>
    </row>
    <row r="142" spans="1:5" x14ac:dyDescent="0.3">
      <c r="A142" s="4" t="s">
        <v>951</v>
      </c>
      <c r="B142" s="4" t="s">
        <v>685</v>
      </c>
      <c r="C142" s="3">
        <v>9.6</v>
      </c>
      <c r="D142" s="3">
        <v>1</v>
      </c>
      <c r="E142" s="3">
        <v>7000</v>
      </c>
    </row>
    <row r="143" spans="1:5" x14ac:dyDescent="0.3">
      <c r="A143" s="4" t="s">
        <v>952</v>
      </c>
      <c r="B143" s="4" t="s">
        <v>694</v>
      </c>
      <c r="C143" s="3">
        <v>104.5</v>
      </c>
      <c r="D143" s="3">
        <v>1</v>
      </c>
      <c r="E143" s="3">
        <v>7000</v>
      </c>
    </row>
    <row r="144" spans="1:5" x14ac:dyDescent="0.3">
      <c r="A144" s="4" t="s">
        <v>953</v>
      </c>
      <c r="B144" s="4" t="s">
        <v>700</v>
      </c>
      <c r="C144" s="3">
        <v>7.7</v>
      </c>
      <c r="D144" s="3">
        <v>1</v>
      </c>
      <c r="E144" s="3">
        <v>7000</v>
      </c>
    </row>
    <row r="145" spans="1:5" x14ac:dyDescent="0.3">
      <c r="A145" s="4" t="s">
        <v>954</v>
      </c>
      <c r="B145" s="4" t="s">
        <v>707</v>
      </c>
      <c r="C145" s="3">
        <v>2.2999999999999998</v>
      </c>
      <c r="D145" s="3">
        <v>1</v>
      </c>
      <c r="E145" s="3">
        <v>7000</v>
      </c>
    </row>
    <row r="146" spans="1:5" x14ac:dyDescent="0.3">
      <c r="A146" s="4" t="s">
        <v>955</v>
      </c>
      <c r="B146" s="4" t="s">
        <v>696</v>
      </c>
      <c r="C146" s="3">
        <v>14</v>
      </c>
      <c r="D146" s="3">
        <v>1</v>
      </c>
      <c r="E146" s="3">
        <v>7000</v>
      </c>
    </row>
    <row r="147" spans="1:5" x14ac:dyDescent="0.3">
      <c r="A147" s="4" t="s">
        <v>956</v>
      </c>
      <c r="B147" s="4" t="s">
        <v>711</v>
      </c>
      <c r="C147" s="3">
        <v>11.5</v>
      </c>
      <c r="D147" s="3">
        <v>1</v>
      </c>
      <c r="E147" s="3">
        <v>7000</v>
      </c>
    </row>
    <row r="148" spans="1:5" x14ac:dyDescent="0.3">
      <c r="A148" s="4" t="s">
        <v>957</v>
      </c>
      <c r="B148" s="4" t="s">
        <v>717</v>
      </c>
      <c r="C148" s="3">
        <v>16.600000000000001</v>
      </c>
      <c r="D148" s="3">
        <v>1</v>
      </c>
      <c r="E148" s="3">
        <v>7000</v>
      </c>
    </row>
    <row r="149" spans="1:5" x14ac:dyDescent="0.3">
      <c r="A149" s="4" t="s">
        <v>958</v>
      </c>
      <c r="B149" s="4" t="s">
        <v>721</v>
      </c>
      <c r="C149" s="3">
        <v>5.5</v>
      </c>
      <c r="D149" s="3">
        <v>1</v>
      </c>
      <c r="E149" s="3">
        <v>7000</v>
      </c>
    </row>
    <row r="150" spans="1:5" x14ac:dyDescent="0.3">
      <c r="A150" s="4" t="s">
        <v>959</v>
      </c>
      <c r="B150" s="4" t="s">
        <v>698</v>
      </c>
      <c r="C150" s="3">
        <v>14.3</v>
      </c>
      <c r="D150" s="3">
        <v>1</v>
      </c>
      <c r="E150" s="3">
        <v>7000</v>
      </c>
    </row>
    <row r="151" spans="1:5" x14ac:dyDescent="0.3">
      <c r="A151" s="4" t="s">
        <v>960</v>
      </c>
      <c r="B151" s="4" t="s">
        <v>723</v>
      </c>
      <c r="C151" s="3">
        <v>3.1</v>
      </c>
      <c r="D151" s="3">
        <v>1</v>
      </c>
      <c r="E151" s="3">
        <v>7000</v>
      </c>
    </row>
    <row r="152" spans="1:5" x14ac:dyDescent="0.3">
      <c r="A152" s="4" t="s">
        <v>961</v>
      </c>
      <c r="B152" s="4" t="s">
        <v>730</v>
      </c>
      <c r="C152" s="3">
        <v>9.5</v>
      </c>
      <c r="D152" s="3">
        <v>1</v>
      </c>
      <c r="E152" s="3">
        <v>7000</v>
      </c>
    </row>
    <row r="153" spans="1:5" x14ac:dyDescent="0.3">
      <c r="A153" s="4" t="s">
        <v>962</v>
      </c>
      <c r="B153" s="4" t="s">
        <v>734</v>
      </c>
      <c r="C153" s="3">
        <v>5.0999999999999996</v>
      </c>
      <c r="D153" s="3">
        <v>1</v>
      </c>
      <c r="E153" s="3">
        <v>7000</v>
      </c>
    </row>
    <row r="154" spans="1:5" x14ac:dyDescent="0.3">
      <c r="A154" s="4" t="s">
        <v>963</v>
      </c>
      <c r="B154" s="4" t="s">
        <v>740</v>
      </c>
      <c r="C154" s="3">
        <v>13.5</v>
      </c>
      <c r="D154" s="3">
        <v>1</v>
      </c>
      <c r="E154" s="3">
        <v>7000</v>
      </c>
    </row>
    <row r="155" spans="1:5" x14ac:dyDescent="0.3">
      <c r="A155" s="4" t="s">
        <v>964</v>
      </c>
      <c r="B155" s="4" t="s">
        <v>752</v>
      </c>
      <c r="C155" s="3">
        <v>26.9</v>
      </c>
      <c r="D155" s="3">
        <v>1</v>
      </c>
      <c r="E155" s="3">
        <v>7000</v>
      </c>
    </row>
    <row r="156" spans="1:5" x14ac:dyDescent="0.3">
      <c r="A156" s="4" t="s">
        <v>965</v>
      </c>
      <c r="B156" s="4" t="s">
        <v>754</v>
      </c>
      <c r="C156" s="3">
        <v>1.9</v>
      </c>
      <c r="D156" s="3">
        <v>1</v>
      </c>
      <c r="E156" s="3">
        <v>7000</v>
      </c>
    </row>
    <row r="157" spans="1:5" x14ac:dyDescent="0.3">
      <c r="A157" s="4" t="s">
        <v>966</v>
      </c>
      <c r="B157" s="4" t="s">
        <v>761</v>
      </c>
      <c r="C157" s="3">
        <v>10.6</v>
      </c>
      <c r="D157" s="3">
        <v>1</v>
      </c>
      <c r="E157" s="3">
        <v>7000</v>
      </c>
    </row>
    <row r="158" spans="1:5" x14ac:dyDescent="0.3">
      <c r="A158" s="4" t="s">
        <v>967</v>
      </c>
      <c r="B158" s="4" t="s">
        <v>763</v>
      </c>
      <c r="C158" s="3">
        <v>7.2</v>
      </c>
      <c r="D158" s="3">
        <v>1</v>
      </c>
      <c r="E158" s="3">
        <v>7000</v>
      </c>
    </row>
    <row r="159" spans="1:5" x14ac:dyDescent="0.3">
      <c r="A159" s="4" t="s">
        <v>968</v>
      </c>
      <c r="B159" s="4" t="s">
        <v>766</v>
      </c>
      <c r="C159" s="3">
        <v>5.9</v>
      </c>
      <c r="D159" s="3">
        <v>1</v>
      </c>
      <c r="E159" s="3">
        <v>7000</v>
      </c>
    </row>
    <row r="160" spans="1:5" x14ac:dyDescent="0.3">
      <c r="A160" s="4" t="s">
        <v>969</v>
      </c>
      <c r="B160" s="4" t="s">
        <v>774</v>
      </c>
      <c r="C160" s="3">
        <v>6.1</v>
      </c>
      <c r="D160" s="3">
        <v>1</v>
      </c>
      <c r="E160" s="3">
        <v>7000</v>
      </c>
    </row>
    <row r="161" spans="1:5" x14ac:dyDescent="0.3">
      <c r="A161" s="4" t="s">
        <v>970</v>
      </c>
      <c r="B161" s="4" t="s">
        <v>778</v>
      </c>
      <c r="C161" s="3">
        <v>9.1999999999999993</v>
      </c>
      <c r="D161" s="3">
        <v>1</v>
      </c>
      <c r="E161" s="3">
        <v>7000</v>
      </c>
    </row>
    <row r="162" spans="1:5" x14ac:dyDescent="0.3">
      <c r="A162" s="4" t="s">
        <v>971</v>
      </c>
      <c r="B162" s="4" t="s">
        <v>780</v>
      </c>
      <c r="C162" s="3">
        <v>15.1</v>
      </c>
      <c r="D162" s="3">
        <v>1</v>
      </c>
      <c r="E162" s="3">
        <v>7000</v>
      </c>
    </row>
    <row r="163" spans="1:5" x14ac:dyDescent="0.3">
      <c r="A163" s="4" t="s">
        <v>972</v>
      </c>
      <c r="B163" s="4" t="s">
        <v>784</v>
      </c>
      <c r="C163" s="3">
        <v>10.9</v>
      </c>
      <c r="D163" s="3">
        <v>1</v>
      </c>
      <c r="E163" s="3">
        <v>7000</v>
      </c>
    </row>
    <row r="164" spans="1:5" x14ac:dyDescent="0.3">
      <c r="A164" s="4" t="s">
        <v>973</v>
      </c>
      <c r="B164" s="4" t="s">
        <v>793</v>
      </c>
      <c r="C164" s="3">
        <v>16.7</v>
      </c>
      <c r="D164" s="3">
        <v>1</v>
      </c>
      <c r="E164" s="3">
        <v>7000</v>
      </c>
    </row>
    <row r="165" spans="1:5" x14ac:dyDescent="0.3">
      <c r="A165" s="4" t="s">
        <v>974</v>
      </c>
      <c r="B165" s="4" t="s">
        <v>794</v>
      </c>
      <c r="C165" s="3">
        <v>28.9</v>
      </c>
      <c r="D165" s="3">
        <v>1</v>
      </c>
      <c r="E165" s="3">
        <v>7000</v>
      </c>
    </row>
    <row r="166" spans="1:5" x14ac:dyDescent="0.3">
      <c r="A166" s="4" t="s">
        <v>975</v>
      </c>
      <c r="B166" s="4" t="s">
        <v>797</v>
      </c>
      <c r="C166" s="3">
        <v>20.8</v>
      </c>
      <c r="D166" s="3">
        <v>1</v>
      </c>
      <c r="E166" s="3">
        <v>7000</v>
      </c>
    </row>
    <row r="167" spans="1:5" x14ac:dyDescent="0.3">
      <c r="A167" s="4" t="s">
        <v>976</v>
      </c>
      <c r="B167" s="4" t="s">
        <v>799</v>
      </c>
      <c r="C167" s="3">
        <v>9</v>
      </c>
      <c r="D167" s="3">
        <v>1</v>
      </c>
      <c r="E167" s="3">
        <v>7000</v>
      </c>
    </row>
  </sheetData>
  <autoFilter ref="A1:E58" xr:uid="{00000000-0001-0000-01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FK7"/>
  <sheetViews>
    <sheetView zoomScale="110" zoomScaleNormal="110" workbookViewId="0">
      <selection activeCell="B2" sqref="B2"/>
    </sheetView>
  </sheetViews>
  <sheetFormatPr defaultColWidth="8.5546875" defaultRowHeight="14.4" x14ac:dyDescent="0.3"/>
  <cols>
    <col min="1" max="1" width="8.44140625" bestFit="1" customWidth="1"/>
    <col min="2" max="2" width="10.109375" bestFit="1" customWidth="1"/>
    <col min="3" max="3" width="14.88671875" bestFit="1" customWidth="1"/>
    <col min="4" max="4" width="14.109375" bestFit="1" customWidth="1"/>
    <col min="5" max="5" width="15" bestFit="1" customWidth="1"/>
    <col min="6" max="7" width="14" bestFit="1" customWidth="1"/>
    <col min="8" max="8" width="14.6640625" bestFit="1" customWidth="1"/>
    <col min="9" max="9" width="13.88671875" bestFit="1" customWidth="1"/>
    <col min="10" max="10" width="14.21875" bestFit="1" customWidth="1"/>
    <col min="11" max="11" width="14.6640625" bestFit="1" customWidth="1"/>
    <col min="12" max="12" width="14.77734375" bestFit="1" customWidth="1"/>
    <col min="13" max="13" width="14.5546875" bestFit="1" customWidth="1"/>
    <col min="14" max="14" width="11.77734375" bestFit="1" customWidth="1"/>
    <col min="15" max="15" width="14.44140625" bestFit="1" customWidth="1"/>
    <col min="16" max="16" width="15" bestFit="1" customWidth="1"/>
    <col min="17" max="17" width="14" bestFit="1" customWidth="1"/>
    <col min="18" max="18" width="15.77734375" bestFit="1" customWidth="1"/>
    <col min="19" max="19" width="13.88671875" bestFit="1" customWidth="1"/>
    <col min="20" max="20" width="14.88671875" bestFit="1" customWidth="1"/>
    <col min="21" max="21" width="14" bestFit="1" customWidth="1"/>
    <col min="22" max="22" width="15" bestFit="1" customWidth="1"/>
    <col min="23" max="23" width="14.77734375" bestFit="1" customWidth="1"/>
    <col min="24" max="24" width="14.21875" bestFit="1" customWidth="1"/>
    <col min="25" max="25" width="13.44140625" bestFit="1" customWidth="1"/>
    <col min="26" max="26" width="14.33203125" bestFit="1" customWidth="1"/>
    <col min="27" max="27" width="13.77734375" bestFit="1" customWidth="1"/>
    <col min="28" max="28" width="14.21875" bestFit="1" customWidth="1"/>
    <col min="29" max="29" width="15.109375" bestFit="1" customWidth="1"/>
    <col min="30" max="30" width="14.77734375" bestFit="1" customWidth="1"/>
    <col min="31" max="31" width="15.21875" bestFit="1" customWidth="1"/>
    <col min="32" max="32" width="15.109375" bestFit="1" customWidth="1"/>
    <col min="33" max="33" width="12.88671875" bestFit="1" customWidth="1"/>
    <col min="34" max="34" width="14.5546875" bestFit="1" customWidth="1"/>
    <col min="35" max="35" width="14.77734375" bestFit="1" customWidth="1"/>
    <col min="36" max="36" width="11.21875" bestFit="1" customWidth="1"/>
    <col min="37" max="37" width="14.5546875" bestFit="1" customWidth="1"/>
    <col min="38" max="38" width="14.88671875" bestFit="1" customWidth="1"/>
    <col min="39" max="39" width="14.6640625" bestFit="1" customWidth="1"/>
    <col min="40" max="40" width="14.5546875" bestFit="1" customWidth="1"/>
    <col min="41" max="41" width="13.33203125" bestFit="1" customWidth="1"/>
    <col min="42" max="42" width="14" bestFit="1" customWidth="1"/>
    <col min="43" max="43" width="14.88671875" bestFit="1" customWidth="1"/>
    <col min="44" max="44" width="15.109375" bestFit="1" customWidth="1"/>
    <col min="45" max="45" width="13.21875" bestFit="1" customWidth="1"/>
    <col min="46" max="46" width="13.5546875" bestFit="1" customWidth="1"/>
    <col min="47" max="47" width="10.88671875" bestFit="1" customWidth="1"/>
    <col min="48" max="48" width="13.5546875" bestFit="1" customWidth="1"/>
    <col min="49" max="49" width="15.109375" bestFit="1" customWidth="1"/>
    <col min="50" max="50" width="14.5546875" bestFit="1" customWidth="1"/>
    <col min="51" max="51" width="14.33203125" bestFit="1" customWidth="1"/>
    <col min="52" max="52" width="11" bestFit="1" customWidth="1"/>
    <col min="53" max="53" width="11.88671875" bestFit="1" customWidth="1"/>
    <col min="54" max="54" width="14.109375" bestFit="1" customWidth="1"/>
    <col min="55" max="55" width="14.77734375" bestFit="1" customWidth="1"/>
    <col min="56" max="56" width="14.33203125" bestFit="1" customWidth="1"/>
    <col min="57" max="57" width="14.6640625" bestFit="1" customWidth="1"/>
    <col min="58" max="58" width="11.21875" bestFit="1" customWidth="1"/>
    <col min="59" max="59" width="14.33203125" bestFit="1" customWidth="1"/>
    <col min="60" max="60" width="15.33203125" bestFit="1" customWidth="1"/>
    <col min="61" max="61" width="14.6640625" bestFit="1" customWidth="1"/>
    <col min="62" max="62" width="11.109375" bestFit="1" customWidth="1"/>
    <col min="63" max="63" width="11" bestFit="1" customWidth="1"/>
    <col min="64" max="64" width="11.5546875" bestFit="1" customWidth="1"/>
    <col min="65" max="65" width="14.33203125" bestFit="1" customWidth="1"/>
    <col min="66" max="66" width="15.21875" bestFit="1" customWidth="1"/>
    <col min="67" max="67" width="15" bestFit="1" customWidth="1"/>
    <col min="68" max="68" width="11.5546875" bestFit="1" customWidth="1"/>
    <col min="69" max="69" width="15" bestFit="1" customWidth="1"/>
    <col min="70" max="70" width="14.77734375" bestFit="1" customWidth="1"/>
    <col min="71" max="71" width="11" bestFit="1" customWidth="1"/>
    <col min="72" max="72" width="15" bestFit="1" customWidth="1"/>
    <col min="73" max="73" width="14.33203125" bestFit="1" customWidth="1"/>
    <col min="74" max="74" width="15" bestFit="1" customWidth="1"/>
    <col min="75" max="75" width="14.77734375" bestFit="1" customWidth="1"/>
    <col min="76" max="76" width="13.88671875" bestFit="1" customWidth="1"/>
    <col min="77" max="77" width="14" bestFit="1" customWidth="1"/>
    <col min="78" max="78" width="10.6640625" bestFit="1" customWidth="1"/>
    <col min="79" max="79" width="11" bestFit="1" customWidth="1"/>
    <col min="80" max="80" width="13.109375" bestFit="1" customWidth="1"/>
    <col min="81" max="81" width="12.88671875" bestFit="1" customWidth="1"/>
    <col min="82" max="82" width="14.44140625" bestFit="1" customWidth="1"/>
    <col min="83" max="83" width="14.21875" bestFit="1" customWidth="1"/>
    <col min="84" max="84" width="10.6640625" bestFit="1" customWidth="1"/>
    <col min="85" max="85" width="15.44140625" bestFit="1" customWidth="1"/>
    <col min="86" max="86" width="14.44140625" bestFit="1" customWidth="1"/>
    <col min="87" max="87" width="12.77734375" bestFit="1" customWidth="1"/>
    <col min="88" max="88" width="14" bestFit="1" customWidth="1"/>
    <col min="89" max="89" width="14.21875" bestFit="1" customWidth="1"/>
    <col min="90" max="90" width="10.77734375" bestFit="1" customWidth="1"/>
    <col min="91" max="92" width="13.44140625" bestFit="1" customWidth="1"/>
    <col min="93" max="93" width="13.21875" bestFit="1" customWidth="1"/>
    <col min="94" max="94" width="14.109375" bestFit="1" customWidth="1"/>
    <col min="95" max="95" width="13.109375" bestFit="1" customWidth="1"/>
    <col min="96" max="96" width="10.6640625" bestFit="1" customWidth="1"/>
    <col min="97" max="97" width="14.88671875" bestFit="1" customWidth="1"/>
    <col min="98" max="98" width="14.77734375" bestFit="1" customWidth="1"/>
    <col min="99" max="99" width="14.6640625" bestFit="1" customWidth="1"/>
    <col min="100" max="100" width="13.77734375" bestFit="1" customWidth="1"/>
    <col min="101" max="101" width="13.33203125" bestFit="1" customWidth="1"/>
    <col min="102" max="102" width="9.6640625" bestFit="1" customWidth="1"/>
    <col min="103" max="103" width="14.21875" bestFit="1" customWidth="1"/>
    <col min="104" max="104" width="14.109375" bestFit="1" customWidth="1"/>
    <col min="105" max="105" width="13.77734375" bestFit="1" customWidth="1"/>
    <col min="106" max="106" width="10.6640625" bestFit="1" customWidth="1"/>
    <col min="107" max="107" width="14.109375" bestFit="1" customWidth="1"/>
    <col min="108" max="108" width="13.5546875" bestFit="1" customWidth="1"/>
    <col min="109" max="109" width="13.33203125" bestFit="1" customWidth="1"/>
    <col min="110" max="110" width="14.77734375" bestFit="1" customWidth="1"/>
    <col min="111" max="111" width="14.5546875" bestFit="1" customWidth="1"/>
    <col min="112" max="112" width="14.33203125" bestFit="1" customWidth="1"/>
    <col min="113" max="113" width="15.109375" bestFit="1" customWidth="1"/>
    <col min="114" max="114" width="14.109375" bestFit="1" customWidth="1"/>
    <col min="115" max="115" width="11.44140625" bestFit="1" customWidth="1"/>
    <col min="116" max="116" width="13.77734375" bestFit="1" customWidth="1"/>
    <col min="117" max="117" width="14.109375" bestFit="1" customWidth="1"/>
    <col min="118" max="118" width="15.6640625" bestFit="1" customWidth="1"/>
    <col min="119" max="119" width="11.77734375" bestFit="1" customWidth="1"/>
    <col min="120" max="120" width="14.109375" bestFit="1" customWidth="1"/>
    <col min="121" max="121" width="14.21875" bestFit="1" customWidth="1"/>
    <col min="122" max="122" width="15.21875" bestFit="1" customWidth="1"/>
    <col min="123" max="123" width="14.5546875" bestFit="1" customWidth="1"/>
    <col min="124" max="124" width="15.109375" bestFit="1" customWidth="1"/>
    <col min="125" max="125" width="14.6640625" bestFit="1" customWidth="1"/>
    <col min="126" max="126" width="14.77734375" bestFit="1" customWidth="1"/>
    <col min="127" max="127" width="15" bestFit="1" customWidth="1"/>
    <col min="128" max="128" width="11.77734375" bestFit="1" customWidth="1"/>
    <col min="129" max="129" width="15.21875" bestFit="1" customWidth="1"/>
    <col min="130" max="130" width="15" bestFit="1" customWidth="1"/>
    <col min="131" max="131" width="13.77734375" bestFit="1" customWidth="1"/>
    <col min="132" max="132" width="13.6640625" bestFit="1" customWidth="1"/>
    <col min="133" max="134" width="15.33203125" bestFit="1" customWidth="1"/>
    <col min="135" max="135" width="13.33203125" bestFit="1" customWidth="1"/>
    <col min="136" max="136" width="13.44140625" bestFit="1" customWidth="1"/>
    <col min="137" max="137" width="14" bestFit="1" customWidth="1"/>
    <col min="138" max="138" width="14.6640625" bestFit="1" customWidth="1"/>
    <col min="139" max="139" width="14.44140625" bestFit="1" customWidth="1"/>
    <col min="140" max="140" width="14" bestFit="1" customWidth="1"/>
    <col min="141" max="141" width="14.5546875" bestFit="1" customWidth="1"/>
    <col min="142" max="142" width="14.44140625" bestFit="1" customWidth="1"/>
    <col min="143" max="143" width="13.5546875" bestFit="1" customWidth="1"/>
    <col min="144" max="144" width="14.44140625" bestFit="1" customWidth="1"/>
    <col min="145" max="145" width="13.44140625" bestFit="1" customWidth="1"/>
    <col min="146" max="146" width="14.21875" bestFit="1" customWidth="1"/>
    <col min="147" max="147" width="14" bestFit="1" customWidth="1"/>
    <col min="148" max="148" width="9.88671875" bestFit="1" customWidth="1"/>
    <col min="149" max="149" width="11.21875" bestFit="1" customWidth="1"/>
    <col min="150" max="150" width="13.5546875" bestFit="1" customWidth="1"/>
    <col min="151" max="151" width="15.33203125" bestFit="1" customWidth="1"/>
    <col min="152" max="152" width="14.109375" bestFit="1" customWidth="1"/>
    <col min="153" max="153" width="10.77734375" bestFit="1" customWidth="1"/>
    <col min="154" max="154" width="14.109375" bestFit="1" customWidth="1"/>
    <col min="155" max="155" width="11.109375" bestFit="1" customWidth="1"/>
    <col min="156" max="156" width="14.5546875" bestFit="1" customWidth="1"/>
    <col min="157" max="158" width="13.88671875" bestFit="1" customWidth="1"/>
    <col min="159" max="159" width="14.109375" bestFit="1" customWidth="1"/>
    <col min="160" max="160" width="15" bestFit="1" customWidth="1"/>
    <col min="161" max="161" width="14" bestFit="1" customWidth="1"/>
    <col min="162" max="162" width="14.21875" bestFit="1" customWidth="1"/>
    <col min="163" max="163" width="14.33203125" bestFit="1" customWidth="1"/>
    <col min="164" max="164" width="15.21875" bestFit="1" customWidth="1"/>
    <col min="165" max="165" width="11.77734375" bestFit="1" customWidth="1"/>
    <col min="166" max="166" width="11.5546875" bestFit="1" customWidth="1"/>
    <col min="167" max="167" width="13.88671875" bestFit="1" customWidth="1"/>
  </cols>
  <sheetData>
    <row r="1" spans="1:167" x14ac:dyDescent="0.3">
      <c r="A1" s="2" t="s">
        <v>31</v>
      </c>
      <c r="B1" s="4" t="str" cm="1">
        <f t="array" ref="B1:FK1">TRANSPOSE(_xlfn._xlws.FILTER(demand!$A$2:$A$167,demand!$D$2:$D$167=1))</f>
        <v>AA(I)(Z)PF1</v>
      </c>
      <c r="C1" s="4" t="str">
        <v>AGH(N)(Z)PF0.99</v>
      </c>
      <c r="D1" s="11" t="str">
        <v>AGN(I)(Z)PF0.95</v>
      </c>
      <c r="E1" s="4" t="str">
        <v>AHA(I)(Z)PF0.965</v>
      </c>
      <c r="F1" s="4" t="str">
        <v>AIR(N)(Z)PF0.99</v>
      </c>
      <c r="G1" s="4" t="str">
        <v>ANR(I)(Z)PF0.95</v>
      </c>
      <c r="H1" s="4" t="str">
        <v>ANT(N)(Z)PF0.98</v>
      </c>
      <c r="I1" s="4" t="str">
        <v>ARD(I)(Z)PF0.99</v>
      </c>
      <c r="J1" s="4" t="str">
        <v>ARI(I)(T)PF0.911</v>
      </c>
      <c r="K1" s="4" t="str">
        <v>ARK(I)(Z)PF0.967</v>
      </c>
      <c r="L1" s="4" t="str">
        <v>ATH(I)(Z)PF0.995</v>
      </c>
      <c r="M1" s="4" t="str">
        <v>ATY(I)(Z)PF0.971</v>
      </c>
      <c r="N1" s="4" t="str">
        <v>BAG(I)PF0.95</v>
      </c>
      <c r="O1" s="4" t="str">
        <v>BAL(I)(Z)PF0.998</v>
      </c>
      <c r="P1" s="4" t="str">
        <v>BAN(I)(Z)PF0.993</v>
      </c>
      <c r="Q1" s="4" t="str">
        <v>BAN(I)(Z)PF0.99</v>
      </c>
      <c r="R1" s="4" t="str">
        <v>BAN(N)(Z)PF0.958</v>
      </c>
      <c r="S1" s="4" t="str">
        <v>BAR(I)(T)PF0.95</v>
      </c>
      <c r="T1" s="4" t="str">
        <v>BDA(I)(Z)PF0.982</v>
      </c>
      <c r="U1" s="4" t="str">
        <v>BDN(I)(Z)PF0.95</v>
      </c>
      <c r="V1" s="4" t="str">
        <v>BDN(I)(Z)PF0.992</v>
      </c>
      <c r="W1" s="4" t="str">
        <v>BEG(I)(Z)PF0.992</v>
      </c>
      <c r="X1" s="4" t="str">
        <v>BIN(I)(Z)PF0.992</v>
      </c>
      <c r="Y1" s="4" t="str">
        <v>BK(I)(Z)PF0.998</v>
      </c>
      <c r="Z1" s="4" t="str">
        <v>BLC(I)(Z)PF0.951</v>
      </c>
      <c r="AA1" s="4" t="str">
        <v>BLI(I)(Z)PF0.925</v>
      </c>
      <c r="AB1" s="4" t="str">
        <v>BLK(I)(Z)PF0.999</v>
      </c>
      <c r="AC1" s="4" t="str">
        <v>BMA(N)(Z)PF0.95</v>
      </c>
      <c r="AD1" s="4" t="str">
        <v>BNH(N)(Z)PF0.99</v>
      </c>
      <c r="AE1" s="4" t="str">
        <v>BNM(N)(Z)PF0.99</v>
      </c>
      <c r="AF1" s="4" t="str">
        <v>BOG(I)(Z)PF0.989</v>
      </c>
      <c r="AG1" s="4" t="str">
        <v>BRI(I)(Z)PF0.95</v>
      </c>
      <c r="AH1" s="4" t="str">
        <v>BRY(I)(Z)PF0.982</v>
      </c>
      <c r="AI1" s="4" t="str">
        <v>BUT(I)(Z)PF0.999</v>
      </c>
      <c r="AJ1" s="4" t="str">
        <v>CAH(I)(Z)PF1</v>
      </c>
      <c r="AK1" s="4" t="str">
        <v>CAR(N)(Z)PF0.99</v>
      </c>
      <c r="AL1" s="4" t="str">
        <v>CBG(I)(Z)PF0.996</v>
      </c>
      <c r="AM1" s="4" t="str">
        <v>CBR(I)(Z)PF0.984</v>
      </c>
      <c r="AN1" s="4" t="str">
        <v>CEN(N)(Z)PF0.99</v>
      </c>
      <c r="AO1" s="4" t="str">
        <v>CF(I)(Z)PF0.999</v>
      </c>
      <c r="AP1" s="4" t="str">
        <v>CFM(I)(Z)PF0.95</v>
      </c>
      <c r="AQ1" s="4" t="str">
        <v>CHA(I)(Z)PF0.999</v>
      </c>
      <c r="AR1" s="4" t="str">
        <v>CKM(I)(Z)PF0.998</v>
      </c>
      <c r="AS1" s="4" t="str">
        <v>CLE(I)(Z)PF0.95</v>
      </c>
      <c r="AT1" s="4" t="str">
        <v>CLG(I)(Z)PF0.95</v>
      </c>
      <c r="AU1" s="4" t="str">
        <v>CLN(I)(Z)PF1</v>
      </c>
      <c r="AV1" s="11" t="str">
        <v>CLU(I)(Z)PF0.95</v>
      </c>
      <c r="AW1" s="4" t="str">
        <v>CLW(I)(Z)PF0.982</v>
      </c>
      <c r="AX1" s="4" t="str">
        <v>COL(I)(Z)PF0.993</v>
      </c>
      <c r="AY1" s="4" t="str">
        <v>COL(N)(Z)PF0.99</v>
      </c>
      <c r="AZ1" s="4" t="str">
        <v>COS(I)(Z)PF1</v>
      </c>
      <c r="BA1" s="4" t="str">
        <v>COW(I)(Z)PF1</v>
      </c>
      <c r="BB1" s="4" t="str">
        <v>CPS(N)(Z)PF0.99</v>
      </c>
      <c r="BC1" s="4" t="str">
        <v>CRA(I)(Z)PF0.999</v>
      </c>
      <c r="BD1" s="4" t="str">
        <v>CRE(N)(Z)PF0.99</v>
      </c>
      <c r="BE1" s="4" t="str">
        <v>CRG(N)(Z)PF0.99</v>
      </c>
      <c r="BF1" s="4" t="str">
        <v>CRO(I)(Z)PF1</v>
      </c>
      <c r="BG1" s="4" t="str">
        <v>CVW(I)(Z)PF0.95</v>
      </c>
      <c r="BH1" s="4" t="str">
        <v>CVW(I)(Z)PF0.992</v>
      </c>
      <c r="BI1" s="4" t="str">
        <v>DAL(I)(T)PF0.993</v>
      </c>
      <c r="BJ1" s="4" t="str">
        <v>DDK(I)(Z)PF1</v>
      </c>
      <c r="BK1" s="4" t="str">
        <v>DFR(I)(T)PF1</v>
      </c>
      <c r="BL1" s="4" t="str">
        <v>DGN(I)(Z)PF1</v>
      </c>
      <c r="BM1" s="4" t="str">
        <v>DLT(I)(Z)PF0.999</v>
      </c>
      <c r="BN1" s="4" t="str">
        <v>DMY(I)(Z)PF0.983</v>
      </c>
      <c r="BO1" s="4" t="str">
        <v>DON(N)(Z)PF0.99</v>
      </c>
      <c r="BP1" s="4" t="str">
        <v>DOO(I)(Z)PF1</v>
      </c>
      <c r="BQ1" s="4" t="str">
        <v>DRU(I)(Z)PF0.873</v>
      </c>
      <c r="BR1" s="4" t="str">
        <v>DRU(N)(Z)PF0.99</v>
      </c>
      <c r="BS1" s="4" t="str">
        <v>DRY(I)(Z)PF1</v>
      </c>
      <c r="BT1" s="4" t="str">
        <v>DUN(N)(Z)PF0.99</v>
      </c>
      <c r="BU1" s="4" t="str">
        <v>EDE(N)(Z)PF0.99</v>
      </c>
      <c r="BV1" s="4" t="str">
        <v>ENN(I)(Z)PF0.996</v>
      </c>
      <c r="BW1" s="4" t="str">
        <v>ENN(N)(Z)PF0.99</v>
      </c>
      <c r="BX1" s="4" t="str">
        <v>FIN(N)(Z)PF0.99</v>
      </c>
      <c r="BY1" s="4" t="str">
        <v>FIN(I)(Z)PF0.984</v>
      </c>
      <c r="BZ1" s="4" t="str">
        <v>FTT(I)(Z)PF1</v>
      </c>
      <c r="CA1" s="4" t="str">
        <v>GAL(I)(Z)PF1</v>
      </c>
      <c r="CB1" s="4" t="str">
        <v>GI(I)(Z)PF0.979</v>
      </c>
      <c r="CC1" s="4" t="str">
        <v>GIL(I)(Z)PF0.95</v>
      </c>
      <c r="CD1" s="4" t="str">
        <v>GLE(I)(Z)PF0.956</v>
      </c>
      <c r="CE1" s="4" t="str">
        <v>GLE(N)(Z)PF0.99</v>
      </c>
      <c r="CF1" s="4" t="str">
        <v>GRI(I)(T)PF1</v>
      </c>
      <c r="CG1" s="4" t="str">
        <v>GWE(I)(Z)PF0.981</v>
      </c>
      <c r="CH1" s="4" t="str">
        <v>GWE(I)(Z)PF0.95</v>
      </c>
      <c r="CI1" s="4" t="str">
        <v>HN(I)(Z)PF0.95</v>
      </c>
      <c r="CJ1" s="4" t="str">
        <v>IKE(I)(T)PF0.996</v>
      </c>
      <c r="CK1" s="4" t="str">
        <v>INC(I)(Z)PF0.999</v>
      </c>
      <c r="CL1" s="4" t="str">
        <v>KBY(I)(Z)PF1</v>
      </c>
      <c r="CM1" s="4" t="str">
        <v>KCY(I)(Z)PF0.95</v>
      </c>
      <c r="CN1" s="4" t="str">
        <v>KER(I)(Z)PF0.99</v>
      </c>
      <c r="CO1" s="4" t="str">
        <v>KSE(I)(Z)PF0.95</v>
      </c>
      <c r="CP1" s="4" t="str">
        <v>KTL(I)(Z)PF0.998</v>
      </c>
      <c r="CQ1" s="4" t="str">
        <v>KIN(I)(Z)PF0.95</v>
      </c>
      <c r="CR1" s="4" t="str">
        <v>KKY(I)(Z)PF1</v>
      </c>
      <c r="CS1" s="4" t="str">
        <v>KLM(I)(Z)PF0.992</v>
      </c>
      <c r="CT1" s="4" t="str">
        <v>KNO(N)(Z)PF0.99</v>
      </c>
      <c r="CU1" s="4" t="str">
        <v>KTN(I)(Z)PF0.993</v>
      </c>
      <c r="CV1" s="4" t="str">
        <v>KUR(I)(Z)PF0.95</v>
      </c>
      <c r="CW1" s="11" t="str">
        <v>KYT(I)(Z)PF0.95</v>
      </c>
      <c r="CX1" s="4" t="str">
        <v>LA(I)(Z)PF1</v>
      </c>
      <c r="CY1" s="4" t="str">
        <v>LAR(N)(Z)PF0.99</v>
      </c>
      <c r="CZ1" s="4" t="str">
        <v>LET(I)(Z)PF0.996</v>
      </c>
      <c r="DA1" s="4" t="str">
        <v>LIB(I)(Z)PF0.989</v>
      </c>
      <c r="DB1" s="4" t="str">
        <v>LIM(I)(Z)PF1</v>
      </c>
      <c r="DC1" s="4" t="str">
        <v>LIM(N)(Z)PF0.99</v>
      </c>
      <c r="DD1" s="4" t="str">
        <v>LIS(I)(Z)PF0.992</v>
      </c>
      <c r="DE1" s="4" t="str">
        <v>LIS(N)(Z)PF0.99</v>
      </c>
      <c r="DF1" s="4" t="str">
        <v>LMR(N)(Z)PF0.98</v>
      </c>
      <c r="DG1" s="4" t="str">
        <v>LOG(N)(Z)PF0.98</v>
      </c>
      <c r="DH1" s="4" t="str">
        <v>MAC(I)(Z)PF0.96</v>
      </c>
      <c r="DI1" s="4" t="str">
        <v>MAL(I)(Z)PF0.988</v>
      </c>
      <c r="DJ1" s="4" t="str">
        <v>MCE(I)(Z)PF0.95</v>
      </c>
      <c r="DK1" s="4" t="str">
        <v>MHL(I)(Z)PF1</v>
      </c>
      <c r="DL1" s="4" t="str">
        <v>MID(I)(Z)PF0.99</v>
      </c>
      <c r="DM1" s="4" t="str">
        <v>MLN(I)(Z)PF0.95</v>
      </c>
      <c r="DN1" s="4" t="str">
        <v>MON(I)(Z)PF0.999</v>
      </c>
      <c r="DO1" s="4" t="str">
        <v>MOY(I)(Z)PF1</v>
      </c>
      <c r="DP1" s="4" t="str">
        <v>MR(I)(Z)PF0.999</v>
      </c>
      <c r="DQ1" s="4" t="str">
        <v>MTA(I)(Z)PF0.95</v>
      </c>
      <c r="DR1" s="4" t="str">
        <v>MTH(I)(Z)PF0.984</v>
      </c>
      <c r="DS1" s="4" t="str">
        <v>MNH(I)(Z)PF0.95</v>
      </c>
      <c r="DT1" s="4" t="str">
        <v>MUL(I)(Z)PF0.998</v>
      </c>
      <c r="DU1" s="4" t="str">
        <v>MUN(I)(Z)PF0.95</v>
      </c>
      <c r="DV1" s="4" t="str">
        <v>NAR(N)(Z)PF0.99</v>
      </c>
      <c r="DW1" s="4" t="str">
        <v>NAV(I)(Z)PF0.969</v>
      </c>
      <c r="DX1" s="4" t="str">
        <v>NEW(I)(Z)PF1</v>
      </c>
      <c r="DY1" s="4" t="str">
        <v>NEW(N)(Z)PF0.99</v>
      </c>
      <c r="DZ1" s="4" t="str">
        <v>NEN(I)(Z)PF0.977</v>
      </c>
      <c r="EA1" s="4" t="str">
        <v>OBE(I)(Z)PF0.95</v>
      </c>
      <c r="EB1" s="4" t="str">
        <v>OLD(I)(Z)PF0.95</v>
      </c>
      <c r="EC1" s="4" t="str">
        <v>OMA(N)(Z)PF0.99</v>
      </c>
      <c r="ED1" s="4" t="str">
        <v>OUG(I)(T)PF0.989</v>
      </c>
      <c r="EE1" s="4" t="str">
        <v>PLA(I)(Z)PF0.95</v>
      </c>
      <c r="EF1" s="4" t="str">
        <v>PB(I)(Z)PF0.989</v>
      </c>
      <c r="EG1" s="4" t="str">
        <v>PLS(I)(Z)PF0.996</v>
      </c>
      <c r="EH1" s="4" t="str">
        <v>RAT(I)(Z)PF0.997</v>
      </c>
      <c r="EI1" s="4" t="str">
        <v>RAT(N)(Z)PF0.99</v>
      </c>
      <c r="EJ1" s="4" t="str">
        <v>RIC(I)(Z)PF0.997</v>
      </c>
      <c r="EK1" s="4" t="str">
        <v>RNW(I)(Z)PF0.95</v>
      </c>
      <c r="EL1" s="4" t="str">
        <v>ROS(N)(Z)PF0.99</v>
      </c>
      <c r="EM1" s="4" t="str">
        <v>RYB(I)(Z)PF0.95</v>
      </c>
      <c r="EN1" s="4" t="str">
        <v>SCR(I)(Z)PF0.976</v>
      </c>
      <c r="EO1" s="4" t="str">
        <v>SHE(I)(Z)PF0.95</v>
      </c>
      <c r="EP1" s="4" t="str">
        <v>SAL(I)(Z)PF0.997</v>
      </c>
      <c r="EQ1" s="4" t="str">
        <v>SKL(I)(Z)PF0.997</v>
      </c>
      <c r="ER1" s="4" t="str">
        <v>SLI(I)(Z)PF1</v>
      </c>
      <c r="ES1" s="4" t="str">
        <v>SNG(I)(Z)PF1</v>
      </c>
      <c r="ET1" s="4" t="str">
        <v>SBH(I)(Z)PF0.95</v>
      </c>
      <c r="EU1" s="4" t="str">
        <v>SOM(I)(T)PF0.998</v>
      </c>
      <c r="EV1" s="4" t="str">
        <v>SPR(N)(Z)PF0.99</v>
      </c>
      <c r="EW1" s="4" t="str">
        <v>STR(I)(T)PF1</v>
      </c>
      <c r="EX1" s="4" t="str">
        <v>STR(N)(Z)PF0.99</v>
      </c>
      <c r="EY1" s="4" t="str">
        <v>TBG(I)(Z)PF1</v>
      </c>
      <c r="EZ1" s="4" t="str">
        <v>TBK(I)(T)PF0.992</v>
      </c>
      <c r="FA1" s="4" t="str">
        <v>THU(I)(Z)PF0.99</v>
      </c>
      <c r="FB1" s="4" t="str">
        <v>TIP(I)(Z)PF0.992</v>
      </c>
      <c r="FC1" s="4" t="str">
        <v>TLK(I)(Z)PF0.994</v>
      </c>
      <c r="FD1" s="4" t="str">
        <v>TON(I)(Z)PF0.987</v>
      </c>
      <c r="FE1" s="4" t="str">
        <v>TRI(I)(Z)PF0.962</v>
      </c>
      <c r="FF1" s="4" t="str">
        <v>TRL(I)(Z)PF0.997</v>
      </c>
      <c r="FG1" s="4" t="str">
        <v>TSB(I)(Z)PF0.996</v>
      </c>
      <c r="FH1" s="4" t="str">
        <v>WAR(N)(Z)PF0.99</v>
      </c>
      <c r="FI1" s="4" t="str">
        <v>WAT(I)(Z)PF1</v>
      </c>
      <c r="FJ1" s="4" t="str">
        <v>WEX(I)(Z)PF1</v>
      </c>
      <c r="FK1" s="4" t="str">
        <v>WHI(I)(Z)PF0.95</v>
      </c>
    </row>
    <row r="2" spans="1:167" x14ac:dyDescent="0.3">
      <c r="A2" s="4" t="s">
        <v>34</v>
      </c>
      <c r="B2" s="4" cm="1">
        <f t="array" ref="B2:FK2">TRANSPOSE(_xlfn._xlws.FILTER(demand!$C$2:$C$167,demand!$D$2:$D$167=1))</f>
        <v>28.6</v>
      </c>
      <c r="C2" s="3">
        <v>6</v>
      </c>
      <c r="D2" s="12">
        <v>0</v>
      </c>
      <c r="E2" s="3">
        <v>1.2</v>
      </c>
      <c r="F2" s="3">
        <v>0</v>
      </c>
      <c r="G2" s="3">
        <v>14</v>
      </c>
      <c r="H2" s="3">
        <v>12.4</v>
      </c>
      <c r="I2" s="3">
        <v>4.7</v>
      </c>
      <c r="J2" s="3">
        <v>0.9</v>
      </c>
      <c r="K2" s="3">
        <v>15.4</v>
      </c>
      <c r="L2" s="3">
        <v>26.7</v>
      </c>
      <c r="M2" s="3">
        <v>6.1</v>
      </c>
      <c r="N2" s="3">
        <v>0</v>
      </c>
      <c r="O2" s="3">
        <v>4.5</v>
      </c>
      <c r="P2" s="3">
        <v>2</v>
      </c>
      <c r="Q2" s="3">
        <v>16.600000000000001</v>
      </c>
      <c r="R2" s="3">
        <v>10.4</v>
      </c>
      <c r="S2" s="3">
        <v>11.5</v>
      </c>
      <c r="T2" s="3">
        <v>5.3</v>
      </c>
      <c r="U2" s="3">
        <v>3.8</v>
      </c>
      <c r="V2" s="3">
        <v>6</v>
      </c>
      <c r="W2" s="3">
        <v>4.2</v>
      </c>
      <c r="X2" s="3">
        <v>6.2</v>
      </c>
      <c r="Y2" s="3">
        <v>1.7</v>
      </c>
      <c r="Z2" s="3">
        <v>91.2</v>
      </c>
      <c r="AA2" s="3">
        <v>6</v>
      </c>
      <c r="AB2" s="3">
        <v>8.3000000000000007</v>
      </c>
      <c r="AC2" s="3">
        <v>17.100000000000001</v>
      </c>
      <c r="AD2" s="3">
        <v>16.5</v>
      </c>
      <c r="AE2" s="3">
        <v>13.8</v>
      </c>
      <c r="AF2" s="3">
        <v>1.9</v>
      </c>
      <c r="AG2" s="3">
        <v>4</v>
      </c>
      <c r="AH2" s="3">
        <v>26.6</v>
      </c>
      <c r="AI2" s="3">
        <v>12.9</v>
      </c>
      <c r="AJ2" s="3">
        <v>8.3000000000000007</v>
      </c>
      <c r="AK2" s="3">
        <v>9.6</v>
      </c>
      <c r="AL2" s="3">
        <v>8.4</v>
      </c>
      <c r="AM2" s="3">
        <v>10.7</v>
      </c>
      <c r="AN2" s="3">
        <v>15.2</v>
      </c>
      <c r="AO2" s="3">
        <v>6.4</v>
      </c>
      <c r="AP2" s="3">
        <v>50.8</v>
      </c>
      <c r="AQ2" s="3">
        <v>6.6</v>
      </c>
      <c r="AR2" s="3">
        <v>128.9</v>
      </c>
      <c r="AS2" s="3">
        <v>90.3</v>
      </c>
      <c r="AT2" s="3">
        <v>73.2</v>
      </c>
      <c r="AU2" s="3">
        <v>7.1</v>
      </c>
      <c r="AV2" s="12">
        <v>0</v>
      </c>
      <c r="AW2" s="3">
        <v>18.2</v>
      </c>
      <c r="AX2" s="3">
        <v>15.9</v>
      </c>
      <c r="AY2" s="3">
        <v>11.8</v>
      </c>
      <c r="AZ2" s="3">
        <v>8</v>
      </c>
      <c r="BA2" s="3">
        <v>8.1999999999999993</v>
      </c>
      <c r="BB2" s="3">
        <v>10.4</v>
      </c>
      <c r="BC2" s="3">
        <v>12</v>
      </c>
      <c r="BD2" s="3">
        <v>19.399999999999999</v>
      </c>
      <c r="BE2" s="3">
        <v>14.1</v>
      </c>
      <c r="BF2" s="3">
        <v>4.7</v>
      </c>
      <c r="BG2" s="3">
        <v>0</v>
      </c>
      <c r="BH2" s="3">
        <v>14.9</v>
      </c>
      <c r="BI2" s="3">
        <v>4.8</v>
      </c>
      <c r="BJ2" s="3">
        <v>18.3</v>
      </c>
      <c r="BK2" s="3">
        <v>3.3</v>
      </c>
      <c r="BL2" s="3">
        <v>15.1</v>
      </c>
      <c r="BM2" s="3">
        <v>10.7</v>
      </c>
      <c r="BN2" s="3">
        <v>10.1</v>
      </c>
      <c r="BO2" s="3">
        <v>23.9</v>
      </c>
      <c r="BP2" s="3">
        <v>8.9</v>
      </c>
      <c r="BQ2" s="3">
        <v>12.9</v>
      </c>
      <c r="BR2" s="3">
        <v>24.4</v>
      </c>
      <c r="BS2" s="3">
        <v>24.3</v>
      </c>
      <c r="BT2" s="3">
        <v>26.4</v>
      </c>
      <c r="BU2" s="3">
        <v>9.3000000000000007</v>
      </c>
      <c r="BV2" s="3">
        <v>22</v>
      </c>
      <c r="BW2" s="3">
        <v>17.399999999999999</v>
      </c>
      <c r="BX2" s="3">
        <v>9.4</v>
      </c>
      <c r="BY2" s="3">
        <v>181.2</v>
      </c>
      <c r="BZ2" s="3">
        <v>5.0999999999999996</v>
      </c>
      <c r="CA2" s="3">
        <v>34.1</v>
      </c>
      <c r="CB2" s="3">
        <v>5.5</v>
      </c>
      <c r="CC2" s="3">
        <v>11.4</v>
      </c>
      <c r="CD2" s="3">
        <v>5</v>
      </c>
      <c r="CE2" s="3">
        <v>8.4</v>
      </c>
      <c r="CF2" s="3">
        <v>22.5</v>
      </c>
      <c r="CG2" s="3">
        <v>6.5</v>
      </c>
      <c r="CH2" s="3">
        <v>22.8</v>
      </c>
      <c r="CI2" s="3">
        <v>0</v>
      </c>
      <c r="CJ2" s="3">
        <v>9.6999999999999993</v>
      </c>
      <c r="CK2" s="3">
        <v>342.7</v>
      </c>
      <c r="CL2" s="3">
        <v>20.3</v>
      </c>
      <c r="CM2" s="3">
        <v>0</v>
      </c>
      <c r="CN2" s="3">
        <v>15.3</v>
      </c>
      <c r="CO2" s="3">
        <v>0</v>
      </c>
      <c r="CP2" s="3">
        <v>9.8000000000000007</v>
      </c>
      <c r="CQ2" s="3">
        <v>10.199999999999999</v>
      </c>
      <c r="CR2" s="3">
        <v>18.899999999999999</v>
      </c>
      <c r="CS2" s="3">
        <v>9.4</v>
      </c>
      <c r="CT2" s="3">
        <v>14.7</v>
      </c>
      <c r="CU2" s="3">
        <v>5</v>
      </c>
      <c r="CV2" s="3">
        <v>23.7</v>
      </c>
      <c r="CW2" s="12">
        <v>0</v>
      </c>
      <c r="CX2" s="3">
        <v>4.5999999999999996</v>
      </c>
      <c r="CY2" s="3">
        <v>12.4</v>
      </c>
      <c r="CZ2" s="3">
        <v>17.899999999999999</v>
      </c>
      <c r="DA2" s="3">
        <v>7.9</v>
      </c>
      <c r="DB2" s="3">
        <v>30.1</v>
      </c>
      <c r="DC2" s="3">
        <v>6.1</v>
      </c>
      <c r="DD2" s="3">
        <v>9.6999999999999993</v>
      </c>
      <c r="DE2" s="3">
        <v>22.9</v>
      </c>
      <c r="DF2" s="3">
        <v>11.4</v>
      </c>
      <c r="DG2" s="3">
        <v>10.7</v>
      </c>
      <c r="DH2" s="3">
        <v>7.1</v>
      </c>
      <c r="DI2" s="3">
        <v>12.9</v>
      </c>
      <c r="DJ2" s="3">
        <v>4.5999999999999996</v>
      </c>
      <c r="DK2" s="3">
        <v>9.8000000000000007</v>
      </c>
      <c r="DL2" s="3">
        <v>21.1</v>
      </c>
      <c r="DM2" s="3">
        <v>4.5</v>
      </c>
      <c r="DN2" s="3">
        <v>4.8</v>
      </c>
      <c r="DO2" s="3">
        <v>10.1</v>
      </c>
      <c r="DP2" s="3">
        <v>4.7</v>
      </c>
      <c r="DQ2" s="3">
        <v>0</v>
      </c>
      <c r="DR2" s="3">
        <v>13.5</v>
      </c>
      <c r="DS2" s="3">
        <v>0</v>
      </c>
      <c r="DT2" s="3">
        <v>13.1</v>
      </c>
      <c r="DU2" s="3">
        <v>21.5</v>
      </c>
      <c r="DV2" s="3">
        <v>11.1</v>
      </c>
      <c r="DW2" s="3">
        <v>17.7</v>
      </c>
      <c r="DX2" s="3">
        <v>13.2</v>
      </c>
      <c r="DY2" s="3">
        <v>21.4</v>
      </c>
      <c r="DZ2" s="3">
        <v>8.1999999999999993</v>
      </c>
      <c r="EA2" s="3">
        <v>0</v>
      </c>
      <c r="EB2" s="3">
        <v>0.3</v>
      </c>
      <c r="EC2" s="3">
        <v>17.3</v>
      </c>
      <c r="ED2" s="3">
        <v>10.6</v>
      </c>
      <c r="EE2" s="3">
        <v>18</v>
      </c>
      <c r="EF2" s="3">
        <v>74</v>
      </c>
      <c r="EG2" s="3">
        <v>17.600000000000001</v>
      </c>
      <c r="EH2" s="3">
        <v>9.6999999999999993</v>
      </c>
      <c r="EI2" s="3">
        <v>14.7</v>
      </c>
      <c r="EJ2" s="3">
        <v>11.9</v>
      </c>
      <c r="EK2" s="3">
        <v>9.1</v>
      </c>
      <c r="EL2" s="3">
        <v>9.6</v>
      </c>
      <c r="EM2" s="3">
        <v>104.5</v>
      </c>
      <c r="EN2" s="3">
        <v>7.7</v>
      </c>
      <c r="EO2" s="3">
        <v>2.2999999999999998</v>
      </c>
      <c r="EP2" s="3">
        <v>14</v>
      </c>
      <c r="EQ2" s="3">
        <v>11.5</v>
      </c>
      <c r="ER2" s="3">
        <v>16.600000000000001</v>
      </c>
      <c r="ES2" s="3">
        <v>5.5</v>
      </c>
      <c r="ET2" s="3">
        <v>14.3</v>
      </c>
      <c r="EU2" s="3">
        <v>3.1</v>
      </c>
      <c r="EV2" s="3">
        <v>9.5</v>
      </c>
      <c r="EW2" s="3">
        <v>5.0999999999999996</v>
      </c>
      <c r="EX2" s="3">
        <v>13.5</v>
      </c>
      <c r="EY2" s="3">
        <v>26.9</v>
      </c>
      <c r="EZ2" s="3">
        <v>1.9</v>
      </c>
      <c r="FA2" s="3">
        <v>10.6</v>
      </c>
      <c r="FB2" s="3">
        <v>7.2</v>
      </c>
      <c r="FC2" s="3">
        <v>5.9</v>
      </c>
      <c r="FD2" s="3">
        <v>6.1</v>
      </c>
      <c r="FE2" s="3">
        <v>9.1999999999999993</v>
      </c>
      <c r="FF2" s="3">
        <v>15.1</v>
      </c>
      <c r="FG2" s="3">
        <v>10.9</v>
      </c>
      <c r="FH2" s="3">
        <v>16.7</v>
      </c>
      <c r="FI2" s="3">
        <v>28.9</v>
      </c>
      <c r="FJ2" s="3">
        <v>20.8</v>
      </c>
      <c r="FK2" s="3">
        <v>9</v>
      </c>
    </row>
    <row r="4" spans="1:167" x14ac:dyDescent="0.3">
      <c r="F4" s="6"/>
    </row>
    <row r="5" spans="1:167" x14ac:dyDescent="0.3">
      <c r="F5" s="9"/>
      <c r="G5" s="10"/>
    </row>
    <row r="7" spans="1:167" x14ac:dyDescent="0.3">
      <c r="G7" s="6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FK2"/>
  <sheetViews>
    <sheetView topLeftCell="EZ1" zoomScale="110" zoomScaleNormal="110" workbookViewId="0">
      <selection activeCell="FF28" sqref="FF28"/>
    </sheetView>
  </sheetViews>
  <sheetFormatPr defaultColWidth="8.77734375" defaultRowHeight="14.4" x14ac:dyDescent="0.3"/>
  <cols>
    <col min="1" max="2" width="9.109375" customWidth="1"/>
    <col min="3" max="1026" width="8.44140625" customWidth="1"/>
  </cols>
  <sheetData>
    <row r="1" spans="1:167" x14ac:dyDescent="0.3">
      <c r="A1" s="2" t="s">
        <v>31</v>
      </c>
      <c r="B1" s="4" t="s">
        <v>811</v>
      </c>
      <c r="C1" s="4" t="s">
        <v>812</v>
      </c>
      <c r="D1" s="11" t="s">
        <v>813</v>
      </c>
      <c r="E1" s="4" t="s">
        <v>814</v>
      </c>
      <c r="F1" s="4" t="s">
        <v>815</v>
      </c>
      <c r="G1" s="4" t="s">
        <v>816</v>
      </c>
      <c r="H1" s="4" t="s">
        <v>817</v>
      </c>
      <c r="I1" s="4" t="s">
        <v>818</v>
      </c>
      <c r="J1" s="4" t="s">
        <v>819</v>
      </c>
      <c r="K1" s="4" t="s">
        <v>820</v>
      </c>
      <c r="L1" s="4" t="s">
        <v>821</v>
      </c>
      <c r="M1" s="4" t="s">
        <v>822</v>
      </c>
      <c r="N1" s="4" t="s">
        <v>823</v>
      </c>
      <c r="O1" s="4" t="s">
        <v>824</v>
      </c>
      <c r="P1" s="4" t="s">
        <v>825</v>
      </c>
      <c r="Q1" s="4" t="s">
        <v>826</v>
      </c>
      <c r="R1" s="4" t="s">
        <v>827</v>
      </c>
      <c r="S1" s="4" t="s">
        <v>828</v>
      </c>
      <c r="T1" s="4" t="s">
        <v>829</v>
      </c>
      <c r="U1" s="4" t="s">
        <v>830</v>
      </c>
      <c r="V1" s="4" t="s">
        <v>831</v>
      </c>
      <c r="W1" s="4" t="s">
        <v>832</v>
      </c>
      <c r="X1" s="4" t="s">
        <v>833</v>
      </c>
      <c r="Y1" s="4" t="s">
        <v>834</v>
      </c>
      <c r="Z1" s="4" t="s">
        <v>835</v>
      </c>
      <c r="AA1" s="4" t="s">
        <v>836</v>
      </c>
      <c r="AB1" s="4" t="s">
        <v>837</v>
      </c>
      <c r="AC1" s="4" t="s">
        <v>838</v>
      </c>
      <c r="AD1" s="4" t="s">
        <v>839</v>
      </c>
      <c r="AE1" s="4" t="s">
        <v>840</v>
      </c>
      <c r="AF1" s="4" t="s">
        <v>841</v>
      </c>
      <c r="AG1" s="4" t="s">
        <v>842</v>
      </c>
      <c r="AH1" s="4" t="s">
        <v>843</v>
      </c>
      <c r="AI1" s="4" t="s">
        <v>844</v>
      </c>
      <c r="AJ1" s="4" t="s">
        <v>845</v>
      </c>
      <c r="AK1" s="4" t="s">
        <v>846</v>
      </c>
      <c r="AL1" s="4" t="s">
        <v>847</v>
      </c>
      <c r="AM1" s="4" t="s">
        <v>848</v>
      </c>
      <c r="AN1" s="4" t="s">
        <v>849</v>
      </c>
      <c r="AO1" s="4" t="s">
        <v>850</v>
      </c>
      <c r="AP1" s="4" t="s">
        <v>851</v>
      </c>
      <c r="AQ1" s="4" t="s">
        <v>852</v>
      </c>
      <c r="AR1" s="4" t="s">
        <v>853</v>
      </c>
      <c r="AS1" s="4" t="s">
        <v>854</v>
      </c>
      <c r="AT1" s="4" t="s">
        <v>855</v>
      </c>
      <c r="AU1" s="4" t="s">
        <v>856</v>
      </c>
      <c r="AV1" s="11" t="s">
        <v>857</v>
      </c>
      <c r="AW1" s="4" t="s">
        <v>858</v>
      </c>
      <c r="AX1" s="4" t="s">
        <v>859</v>
      </c>
      <c r="AY1" s="4" t="s">
        <v>860</v>
      </c>
      <c r="AZ1" s="4" t="s">
        <v>861</v>
      </c>
      <c r="BA1" s="4" t="s">
        <v>862</v>
      </c>
      <c r="BB1" s="4" t="s">
        <v>863</v>
      </c>
      <c r="BC1" s="4" t="s">
        <v>864</v>
      </c>
      <c r="BD1" s="4" t="s">
        <v>865</v>
      </c>
      <c r="BE1" s="4" t="s">
        <v>866</v>
      </c>
      <c r="BF1" s="4" t="s">
        <v>867</v>
      </c>
      <c r="BG1" s="4" t="s">
        <v>868</v>
      </c>
      <c r="BH1" s="4" t="s">
        <v>869</v>
      </c>
      <c r="BI1" s="4" t="s">
        <v>870</v>
      </c>
      <c r="BJ1" s="4" t="s">
        <v>871</v>
      </c>
      <c r="BK1" s="4" t="s">
        <v>872</v>
      </c>
      <c r="BL1" s="4" t="s">
        <v>873</v>
      </c>
      <c r="BM1" s="4" t="s">
        <v>874</v>
      </c>
      <c r="BN1" s="4" t="s">
        <v>875</v>
      </c>
      <c r="BO1" s="4" t="s">
        <v>876</v>
      </c>
      <c r="BP1" s="4" t="s">
        <v>877</v>
      </c>
      <c r="BQ1" s="4" t="s">
        <v>878</v>
      </c>
      <c r="BR1" s="4" t="s">
        <v>879</v>
      </c>
      <c r="BS1" s="4" t="s">
        <v>880</v>
      </c>
      <c r="BT1" s="4" t="s">
        <v>881</v>
      </c>
      <c r="BU1" s="4" t="s">
        <v>882</v>
      </c>
      <c r="BV1" s="4" t="s">
        <v>883</v>
      </c>
      <c r="BW1" s="4" t="s">
        <v>884</v>
      </c>
      <c r="BX1" s="4" t="s">
        <v>885</v>
      </c>
      <c r="BY1" s="4" t="s">
        <v>886</v>
      </c>
      <c r="BZ1" s="4" t="s">
        <v>887</v>
      </c>
      <c r="CA1" s="4" t="s">
        <v>888</v>
      </c>
      <c r="CB1" s="4" t="s">
        <v>889</v>
      </c>
      <c r="CC1" s="4" t="s">
        <v>890</v>
      </c>
      <c r="CD1" s="4" t="s">
        <v>891</v>
      </c>
      <c r="CE1" s="4" t="s">
        <v>892</v>
      </c>
      <c r="CF1" s="4" t="s">
        <v>893</v>
      </c>
      <c r="CG1" s="4" t="s">
        <v>894</v>
      </c>
      <c r="CH1" s="4" t="s">
        <v>895</v>
      </c>
      <c r="CI1" s="4" t="s">
        <v>896</v>
      </c>
      <c r="CJ1" s="4" t="s">
        <v>897</v>
      </c>
      <c r="CK1" s="4" t="s">
        <v>898</v>
      </c>
      <c r="CL1" s="4" t="s">
        <v>899</v>
      </c>
      <c r="CM1" s="4" t="s">
        <v>900</v>
      </c>
      <c r="CN1" s="4" t="s">
        <v>901</v>
      </c>
      <c r="CO1" s="4" t="s">
        <v>902</v>
      </c>
      <c r="CP1" s="4" t="s">
        <v>903</v>
      </c>
      <c r="CQ1" s="4" t="s">
        <v>904</v>
      </c>
      <c r="CR1" s="4" t="s">
        <v>905</v>
      </c>
      <c r="CS1" s="4" t="s">
        <v>906</v>
      </c>
      <c r="CT1" s="4" t="s">
        <v>907</v>
      </c>
      <c r="CU1" s="4" t="s">
        <v>908</v>
      </c>
      <c r="CV1" s="4" t="s">
        <v>909</v>
      </c>
      <c r="CW1" s="11" t="s">
        <v>910</v>
      </c>
      <c r="CX1" s="4" t="s">
        <v>911</v>
      </c>
      <c r="CY1" s="4" t="s">
        <v>912</v>
      </c>
      <c r="CZ1" s="4" t="s">
        <v>913</v>
      </c>
      <c r="DA1" s="4" t="s">
        <v>914</v>
      </c>
      <c r="DB1" s="4" t="s">
        <v>915</v>
      </c>
      <c r="DC1" s="4" t="s">
        <v>916</v>
      </c>
      <c r="DD1" s="4" t="s">
        <v>917</v>
      </c>
      <c r="DE1" s="4" t="s">
        <v>918</v>
      </c>
      <c r="DF1" s="4" t="s">
        <v>919</v>
      </c>
      <c r="DG1" s="4" t="s">
        <v>920</v>
      </c>
      <c r="DH1" s="4" t="s">
        <v>921</v>
      </c>
      <c r="DI1" s="4" t="s">
        <v>922</v>
      </c>
      <c r="DJ1" s="4" t="s">
        <v>923</v>
      </c>
      <c r="DK1" s="4" t="s">
        <v>924</v>
      </c>
      <c r="DL1" s="4" t="s">
        <v>925</v>
      </c>
      <c r="DM1" s="4" t="s">
        <v>926</v>
      </c>
      <c r="DN1" s="4" t="s">
        <v>927</v>
      </c>
      <c r="DO1" s="4" t="s">
        <v>928</v>
      </c>
      <c r="DP1" s="4" t="s">
        <v>929</v>
      </c>
      <c r="DQ1" s="4" t="s">
        <v>930</v>
      </c>
      <c r="DR1" s="4" t="s">
        <v>931</v>
      </c>
      <c r="DS1" s="4" t="s">
        <v>932</v>
      </c>
      <c r="DT1" s="4" t="s">
        <v>933</v>
      </c>
      <c r="DU1" s="4" t="s">
        <v>934</v>
      </c>
      <c r="DV1" s="4" t="s">
        <v>935</v>
      </c>
      <c r="DW1" s="4" t="s">
        <v>936</v>
      </c>
      <c r="DX1" s="4" t="s">
        <v>937</v>
      </c>
      <c r="DY1" s="4" t="s">
        <v>938</v>
      </c>
      <c r="DZ1" s="4" t="s">
        <v>939</v>
      </c>
      <c r="EA1" s="4" t="s">
        <v>940</v>
      </c>
      <c r="EB1" s="4" t="s">
        <v>941</v>
      </c>
      <c r="EC1" s="4" t="s">
        <v>942</v>
      </c>
      <c r="ED1" s="4" t="s">
        <v>943</v>
      </c>
      <c r="EE1" s="4" t="s">
        <v>944</v>
      </c>
      <c r="EF1" s="4" t="s">
        <v>945</v>
      </c>
      <c r="EG1" s="4" t="s">
        <v>946</v>
      </c>
      <c r="EH1" s="4" t="s">
        <v>947</v>
      </c>
      <c r="EI1" s="4" t="s">
        <v>948</v>
      </c>
      <c r="EJ1" s="4" t="s">
        <v>949</v>
      </c>
      <c r="EK1" s="4" t="s">
        <v>950</v>
      </c>
      <c r="EL1" s="4" t="s">
        <v>951</v>
      </c>
      <c r="EM1" s="4" t="s">
        <v>952</v>
      </c>
      <c r="EN1" s="4" t="s">
        <v>953</v>
      </c>
      <c r="EO1" s="4" t="s">
        <v>954</v>
      </c>
      <c r="EP1" s="4" t="s">
        <v>955</v>
      </c>
      <c r="EQ1" s="4" t="s">
        <v>956</v>
      </c>
      <c r="ER1" s="4" t="s">
        <v>957</v>
      </c>
      <c r="ES1" s="4" t="s">
        <v>958</v>
      </c>
      <c r="ET1" s="4" t="s">
        <v>959</v>
      </c>
      <c r="EU1" s="4" t="s">
        <v>960</v>
      </c>
      <c r="EV1" s="4" t="s">
        <v>961</v>
      </c>
      <c r="EW1" s="4" t="s">
        <v>962</v>
      </c>
      <c r="EX1" s="4" t="s">
        <v>963</v>
      </c>
      <c r="EY1" s="4" t="s">
        <v>964</v>
      </c>
      <c r="EZ1" s="4" t="s">
        <v>965</v>
      </c>
      <c r="FA1" s="4" t="s">
        <v>966</v>
      </c>
      <c r="FB1" s="4" t="s">
        <v>967</v>
      </c>
      <c r="FC1" s="4" t="s">
        <v>968</v>
      </c>
      <c r="FD1" s="4" t="s">
        <v>969</v>
      </c>
      <c r="FE1" s="4" t="s">
        <v>970</v>
      </c>
      <c r="FF1" s="4" t="s">
        <v>971</v>
      </c>
      <c r="FG1" s="4" t="s">
        <v>972</v>
      </c>
      <c r="FH1" s="4" t="s">
        <v>973</v>
      </c>
      <c r="FI1" s="4" t="s">
        <v>974</v>
      </c>
      <c r="FJ1" s="4" t="s">
        <v>975</v>
      </c>
      <c r="FK1" s="4" t="s">
        <v>976</v>
      </c>
    </row>
    <row r="2" spans="1:167" x14ac:dyDescent="0.3">
      <c r="A2" s="4" t="s">
        <v>34</v>
      </c>
      <c r="B2" s="3">
        <v>7000</v>
      </c>
      <c r="C2" s="3">
        <v>7000</v>
      </c>
      <c r="D2" s="3">
        <v>7000</v>
      </c>
      <c r="E2" s="3">
        <v>7000</v>
      </c>
      <c r="F2" s="3">
        <v>7000</v>
      </c>
      <c r="G2" s="3">
        <v>7000</v>
      </c>
      <c r="H2" s="3">
        <v>7000</v>
      </c>
      <c r="I2" s="3">
        <v>7000</v>
      </c>
      <c r="J2" s="3">
        <v>7000</v>
      </c>
      <c r="K2" s="3">
        <v>7000</v>
      </c>
      <c r="L2" s="3">
        <v>7000</v>
      </c>
      <c r="M2" s="3">
        <v>7000</v>
      </c>
      <c r="N2" s="3">
        <v>7000</v>
      </c>
      <c r="O2" s="3">
        <v>7000</v>
      </c>
      <c r="P2" s="3">
        <v>7000</v>
      </c>
      <c r="Q2" s="3">
        <v>7000</v>
      </c>
      <c r="R2" s="3">
        <v>7000</v>
      </c>
      <c r="S2" s="3">
        <v>7000</v>
      </c>
      <c r="T2" s="3">
        <v>7000</v>
      </c>
      <c r="U2" s="3">
        <v>7000</v>
      </c>
      <c r="V2" s="3">
        <v>7000</v>
      </c>
      <c r="W2" s="3">
        <v>7000</v>
      </c>
      <c r="X2" s="3">
        <v>7000</v>
      </c>
      <c r="Y2" s="3">
        <v>7000</v>
      </c>
      <c r="Z2" s="3">
        <v>7000</v>
      </c>
      <c r="AA2" s="3">
        <v>7000</v>
      </c>
      <c r="AB2" s="3">
        <v>7000</v>
      </c>
      <c r="AC2" s="3">
        <v>7000</v>
      </c>
      <c r="AD2" s="3">
        <v>7000</v>
      </c>
      <c r="AE2" s="3">
        <v>7000</v>
      </c>
      <c r="AF2" s="3">
        <v>7000</v>
      </c>
      <c r="AG2" s="3">
        <v>7000</v>
      </c>
      <c r="AH2" s="3">
        <v>7000</v>
      </c>
      <c r="AI2" s="3">
        <v>7000</v>
      </c>
      <c r="AJ2" s="3">
        <v>7000</v>
      </c>
      <c r="AK2" s="3">
        <v>7000</v>
      </c>
      <c r="AL2" s="3">
        <v>7000</v>
      </c>
      <c r="AM2" s="3">
        <v>7000</v>
      </c>
      <c r="AN2" s="3">
        <v>7000</v>
      </c>
      <c r="AO2" s="3">
        <v>7000</v>
      </c>
      <c r="AP2" s="3">
        <v>7000</v>
      </c>
      <c r="AQ2" s="3">
        <v>7000</v>
      </c>
      <c r="AR2" s="3">
        <v>7000</v>
      </c>
      <c r="AS2" s="3">
        <v>7000</v>
      </c>
      <c r="AT2" s="3">
        <v>7000</v>
      </c>
      <c r="AU2" s="3">
        <v>7000</v>
      </c>
      <c r="AV2" s="3">
        <v>7000</v>
      </c>
      <c r="AW2" s="3">
        <v>7000</v>
      </c>
      <c r="AX2" s="3">
        <v>7000</v>
      </c>
      <c r="AY2" s="3">
        <v>7000</v>
      </c>
      <c r="AZ2" s="3">
        <v>7000</v>
      </c>
      <c r="BA2" s="3">
        <v>7000</v>
      </c>
      <c r="BB2" s="3">
        <v>7000</v>
      </c>
      <c r="BC2" s="3">
        <v>7000</v>
      </c>
      <c r="BD2" s="3">
        <v>7000</v>
      </c>
      <c r="BE2" s="3">
        <v>7000</v>
      </c>
      <c r="BF2" s="3">
        <v>7000</v>
      </c>
      <c r="BG2" s="3">
        <v>7000</v>
      </c>
      <c r="BH2" s="3">
        <v>7000</v>
      </c>
      <c r="BI2" s="3">
        <v>7000</v>
      </c>
      <c r="BJ2" s="3">
        <v>7000</v>
      </c>
      <c r="BK2" s="3">
        <v>7000</v>
      </c>
      <c r="BL2" s="3">
        <v>7000</v>
      </c>
      <c r="BM2" s="3">
        <v>7000</v>
      </c>
      <c r="BN2" s="3">
        <v>7000</v>
      </c>
      <c r="BO2" s="3">
        <v>7000</v>
      </c>
      <c r="BP2" s="3">
        <v>7000</v>
      </c>
      <c r="BQ2" s="3">
        <v>7000</v>
      </c>
      <c r="BR2" s="3">
        <v>7000</v>
      </c>
      <c r="BS2" s="3">
        <v>7000</v>
      </c>
      <c r="BT2" s="3">
        <v>7000</v>
      </c>
      <c r="BU2" s="3">
        <v>7000</v>
      </c>
      <c r="BV2" s="3">
        <v>7000</v>
      </c>
      <c r="BW2" s="3">
        <v>7000</v>
      </c>
      <c r="BX2" s="3">
        <v>7000</v>
      </c>
      <c r="BY2" s="3">
        <v>7000</v>
      </c>
      <c r="BZ2" s="3">
        <v>7000</v>
      </c>
      <c r="CA2" s="3">
        <v>7000</v>
      </c>
      <c r="CB2" s="3">
        <v>7000</v>
      </c>
      <c r="CC2" s="3">
        <v>7000</v>
      </c>
      <c r="CD2" s="3">
        <v>7000</v>
      </c>
      <c r="CE2" s="3">
        <v>7000</v>
      </c>
      <c r="CF2" s="3">
        <v>7000</v>
      </c>
      <c r="CG2" s="3">
        <v>7000</v>
      </c>
      <c r="CH2" s="3">
        <v>7000</v>
      </c>
      <c r="CI2" s="3">
        <v>7000</v>
      </c>
      <c r="CJ2" s="3">
        <v>7000</v>
      </c>
      <c r="CK2" s="3">
        <v>7000</v>
      </c>
      <c r="CL2" s="3">
        <v>7000</v>
      </c>
      <c r="CM2" s="3">
        <v>7000</v>
      </c>
      <c r="CN2" s="3">
        <v>7000</v>
      </c>
      <c r="CO2" s="3">
        <v>7000</v>
      </c>
      <c r="CP2" s="3">
        <v>7000</v>
      </c>
      <c r="CQ2" s="3">
        <v>7000</v>
      </c>
      <c r="CR2" s="3">
        <v>7000</v>
      </c>
      <c r="CS2" s="3">
        <v>7000</v>
      </c>
      <c r="CT2" s="3">
        <v>7000</v>
      </c>
      <c r="CU2" s="3">
        <v>7000</v>
      </c>
      <c r="CV2" s="3">
        <v>7000</v>
      </c>
      <c r="CW2" s="3">
        <v>7000</v>
      </c>
      <c r="CX2" s="3">
        <v>7000</v>
      </c>
      <c r="CY2" s="3">
        <v>7000</v>
      </c>
      <c r="CZ2" s="3">
        <v>7000</v>
      </c>
      <c r="DA2" s="3">
        <v>7000</v>
      </c>
      <c r="DB2" s="3">
        <v>7000</v>
      </c>
      <c r="DC2" s="3">
        <v>7000</v>
      </c>
      <c r="DD2" s="3">
        <v>7000</v>
      </c>
      <c r="DE2" s="3">
        <v>7000</v>
      </c>
      <c r="DF2" s="3">
        <v>7000</v>
      </c>
      <c r="DG2" s="3">
        <v>7000</v>
      </c>
      <c r="DH2" s="3">
        <v>7000</v>
      </c>
      <c r="DI2" s="3">
        <v>7000</v>
      </c>
      <c r="DJ2" s="3">
        <v>7000</v>
      </c>
      <c r="DK2" s="3">
        <v>7000</v>
      </c>
      <c r="DL2" s="3">
        <v>7000</v>
      </c>
      <c r="DM2" s="3">
        <v>7000</v>
      </c>
      <c r="DN2" s="3">
        <v>7000</v>
      </c>
      <c r="DO2" s="3">
        <v>7000</v>
      </c>
      <c r="DP2" s="3">
        <v>7000</v>
      </c>
      <c r="DQ2" s="3">
        <v>7000</v>
      </c>
      <c r="DR2" s="3">
        <v>7000</v>
      </c>
      <c r="DS2" s="3">
        <v>7000</v>
      </c>
      <c r="DT2" s="3">
        <v>7000</v>
      </c>
      <c r="DU2" s="3">
        <v>7000</v>
      </c>
      <c r="DV2" s="3">
        <v>7000</v>
      </c>
      <c r="DW2" s="3">
        <v>7000</v>
      </c>
      <c r="DX2" s="3">
        <v>7000</v>
      </c>
      <c r="DY2" s="3">
        <v>7000</v>
      </c>
      <c r="DZ2" s="3">
        <v>7000</v>
      </c>
      <c r="EA2" s="3">
        <v>7000</v>
      </c>
      <c r="EB2" s="3">
        <v>7000</v>
      </c>
      <c r="EC2" s="3">
        <v>7000</v>
      </c>
      <c r="ED2" s="3">
        <v>7000</v>
      </c>
      <c r="EE2" s="3">
        <v>7000</v>
      </c>
      <c r="EF2" s="3">
        <v>7000</v>
      </c>
      <c r="EG2" s="3">
        <v>7000</v>
      </c>
      <c r="EH2" s="3">
        <v>7000</v>
      </c>
      <c r="EI2" s="3">
        <v>7000</v>
      </c>
      <c r="EJ2" s="3">
        <v>7000</v>
      </c>
      <c r="EK2" s="3">
        <v>7000</v>
      </c>
      <c r="EL2" s="3">
        <v>7000</v>
      </c>
      <c r="EM2" s="3">
        <v>7000</v>
      </c>
      <c r="EN2" s="3">
        <v>7000</v>
      </c>
      <c r="EO2" s="3">
        <v>7000</v>
      </c>
      <c r="EP2" s="3">
        <v>7000</v>
      </c>
      <c r="EQ2" s="3">
        <v>7000</v>
      </c>
      <c r="ER2" s="3">
        <v>7000</v>
      </c>
      <c r="ES2" s="3">
        <v>7000</v>
      </c>
      <c r="ET2" s="3">
        <v>7000</v>
      </c>
      <c r="EU2" s="3">
        <v>7000</v>
      </c>
      <c r="EV2" s="3">
        <v>7000</v>
      </c>
      <c r="EW2" s="3">
        <v>7000</v>
      </c>
      <c r="EX2" s="3">
        <v>7000</v>
      </c>
      <c r="EY2" s="3">
        <v>7000</v>
      </c>
      <c r="EZ2" s="3">
        <v>7000</v>
      </c>
      <c r="FA2" s="3">
        <v>7000</v>
      </c>
      <c r="FB2" s="3">
        <v>7000</v>
      </c>
      <c r="FC2" s="3">
        <v>7000</v>
      </c>
      <c r="FD2" s="3">
        <v>7000</v>
      </c>
      <c r="FE2" s="3">
        <v>7000</v>
      </c>
      <c r="FF2" s="3">
        <v>7000</v>
      </c>
      <c r="FG2" s="3">
        <v>7000</v>
      </c>
      <c r="FH2" s="3">
        <v>7000</v>
      </c>
      <c r="FI2" s="3">
        <v>7000</v>
      </c>
      <c r="FJ2" s="3">
        <v>7000</v>
      </c>
      <c r="FK2" s="3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591"/>
  <sheetViews>
    <sheetView zoomScale="85" zoomScaleNormal="85" workbookViewId="0">
      <selection activeCell="C20" sqref="C20"/>
    </sheetView>
  </sheetViews>
  <sheetFormatPr defaultColWidth="8.77734375" defaultRowHeight="14.4" x14ac:dyDescent="0.3"/>
  <cols>
    <col min="1" max="1" width="25.109375" bestFit="1" customWidth="1"/>
    <col min="2" max="2" width="18.5546875" bestFit="1" customWidth="1"/>
    <col min="3" max="3" width="16.109375" bestFit="1" customWidth="1"/>
    <col min="4" max="4" width="8.5546875" bestFit="1" customWidth="1"/>
    <col min="5" max="7" width="9.5546875" customWidth="1"/>
    <col min="8" max="8" width="20" bestFit="1" customWidth="1"/>
    <col min="9" max="9" width="19.6640625" bestFit="1" customWidth="1"/>
    <col min="10" max="1021" width="8.44140625" customWidth="1"/>
  </cols>
  <sheetData>
    <row r="1" spans="1:9" x14ac:dyDescent="0.3">
      <c r="A1" s="1" t="s">
        <v>0</v>
      </c>
      <c r="B1" s="1" t="s">
        <v>8</v>
      </c>
      <c r="C1" s="1" t="s">
        <v>9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 s="6" t="s">
        <v>977</v>
      </c>
      <c r="B2" s="6" t="s">
        <v>36</v>
      </c>
      <c r="C2" s="6" t="s">
        <v>353</v>
      </c>
      <c r="D2" s="6">
        <v>1</v>
      </c>
      <c r="E2" s="6" t="s">
        <v>978</v>
      </c>
      <c r="F2" s="6" t="s">
        <v>979</v>
      </c>
      <c r="G2" s="6" t="s">
        <v>980</v>
      </c>
      <c r="H2" s="13">
        <f>I2*1.25</f>
        <v>123.75</v>
      </c>
      <c r="I2" s="6" t="s">
        <v>981</v>
      </c>
    </row>
    <row r="3" spans="1:9" x14ac:dyDescent="0.3">
      <c r="A3" s="6" t="s">
        <v>982</v>
      </c>
      <c r="B3" s="6" t="s">
        <v>36</v>
      </c>
      <c r="C3" s="6" t="s">
        <v>373</v>
      </c>
      <c r="D3" s="6">
        <v>1</v>
      </c>
      <c r="E3" s="6" t="s">
        <v>983</v>
      </c>
      <c r="F3" s="6" t="s">
        <v>984</v>
      </c>
      <c r="G3" s="6" t="s">
        <v>985</v>
      </c>
      <c r="H3" s="13">
        <f t="shared" ref="H3:H66" si="0">I3*1.25</f>
        <v>123.75</v>
      </c>
      <c r="I3" s="6" t="s">
        <v>981</v>
      </c>
    </row>
    <row r="4" spans="1:9" x14ac:dyDescent="0.3">
      <c r="A4" s="6" t="s">
        <v>986</v>
      </c>
      <c r="B4" s="6" t="s">
        <v>36</v>
      </c>
      <c r="C4" s="6" t="s">
        <v>535</v>
      </c>
      <c r="D4" s="6">
        <v>1</v>
      </c>
      <c r="E4" s="6" t="s">
        <v>987</v>
      </c>
      <c r="F4" s="6" t="s">
        <v>988</v>
      </c>
      <c r="G4" s="6" t="s">
        <v>985</v>
      </c>
      <c r="H4" s="13">
        <f t="shared" si="0"/>
        <v>222.5</v>
      </c>
      <c r="I4" s="6" t="s">
        <v>989</v>
      </c>
    </row>
    <row r="5" spans="1:9" x14ac:dyDescent="0.3">
      <c r="A5" s="6" t="s">
        <v>990</v>
      </c>
      <c r="B5" s="6" t="s">
        <v>40</v>
      </c>
      <c r="C5" s="6" t="s">
        <v>721</v>
      </c>
      <c r="D5" s="6">
        <v>1</v>
      </c>
      <c r="E5" s="6" t="s">
        <v>991</v>
      </c>
      <c r="F5" s="6" t="s">
        <v>992</v>
      </c>
      <c r="G5" s="6" t="s">
        <v>987</v>
      </c>
      <c r="H5" s="13">
        <f t="shared" si="0"/>
        <v>181.25</v>
      </c>
      <c r="I5" s="6" t="s">
        <v>993</v>
      </c>
    </row>
    <row r="6" spans="1:9" x14ac:dyDescent="0.3">
      <c r="A6" s="6" t="s">
        <v>994</v>
      </c>
      <c r="B6" s="6" t="s">
        <v>43</v>
      </c>
      <c r="C6" s="6" t="s">
        <v>43</v>
      </c>
      <c r="D6" s="13">
        <v>0</v>
      </c>
      <c r="E6" s="6" t="s">
        <v>995</v>
      </c>
      <c r="F6" s="6" t="s">
        <v>996</v>
      </c>
      <c r="G6" s="6" t="s">
        <v>997</v>
      </c>
      <c r="H6" s="13">
        <f t="shared" si="0"/>
        <v>741.25</v>
      </c>
      <c r="I6" s="6" t="s">
        <v>998</v>
      </c>
    </row>
    <row r="7" spans="1:9" x14ac:dyDescent="0.3">
      <c r="A7" s="6" t="s">
        <v>999</v>
      </c>
      <c r="B7" s="6" t="s">
        <v>43</v>
      </c>
      <c r="C7" s="6" t="s">
        <v>401</v>
      </c>
      <c r="D7" s="6">
        <v>1</v>
      </c>
      <c r="E7" s="6" t="s">
        <v>995</v>
      </c>
      <c r="F7" s="6" t="s">
        <v>1000</v>
      </c>
      <c r="G7" s="6" t="s">
        <v>1001</v>
      </c>
      <c r="H7" s="13">
        <f t="shared" si="0"/>
        <v>670</v>
      </c>
      <c r="I7" s="6" t="s">
        <v>1002</v>
      </c>
    </row>
    <row r="8" spans="1:9" x14ac:dyDescent="0.3">
      <c r="A8" s="6" t="s">
        <v>1003</v>
      </c>
      <c r="B8" s="6" t="s">
        <v>43</v>
      </c>
      <c r="C8" s="6" t="s">
        <v>514</v>
      </c>
      <c r="D8" s="6">
        <v>1</v>
      </c>
      <c r="E8" s="6" t="s">
        <v>991</v>
      </c>
      <c r="F8" s="6" t="s">
        <v>1004</v>
      </c>
      <c r="G8" s="6" t="s">
        <v>1005</v>
      </c>
      <c r="H8" s="13">
        <f t="shared" si="0"/>
        <v>491.25</v>
      </c>
      <c r="I8" s="6" t="s">
        <v>1006</v>
      </c>
    </row>
    <row r="9" spans="1:9" x14ac:dyDescent="0.3">
      <c r="A9" s="6" t="s">
        <v>1007</v>
      </c>
      <c r="B9" s="6" t="s">
        <v>43</v>
      </c>
      <c r="C9" s="6" t="s">
        <v>514</v>
      </c>
      <c r="D9" s="6">
        <v>1</v>
      </c>
      <c r="E9" s="6" t="s">
        <v>991</v>
      </c>
      <c r="F9" s="6" t="s">
        <v>1004</v>
      </c>
      <c r="G9" s="6" t="s">
        <v>1005</v>
      </c>
      <c r="H9" s="13">
        <f t="shared" si="0"/>
        <v>491.25</v>
      </c>
      <c r="I9" s="6" t="s">
        <v>1006</v>
      </c>
    </row>
    <row r="10" spans="1:9" x14ac:dyDescent="0.3">
      <c r="A10" s="6" t="s">
        <v>1008</v>
      </c>
      <c r="B10" s="6" t="s">
        <v>43</v>
      </c>
      <c r="C10" s="6" t="s">
        <v>555</v>
      </c>
      <c r="D10" s="6">
        <v>1</v>
      </c>
      <c r="E10" s="6" t="s">
        <v>995</v>
      </c>
      <c r="F10" s="13">
        <v>1E-3</v>
      </c>
      <c r="G10" s="6" t="s">
        <v>1009</v>
      </c>
      <c r="H10" s="13">
        <f t="shared" si="0"/>
        <v>741.25</v>
      </c>
      <c r="I10" s="6" t="s">
        <v>998</v>
      </c>
    </row>
    <row r="11" spans="1:9" x14ac:dyDescent="0.3">
      <c r="A11" s="6" t="s">
        <v>1010</v>
      </c>
      <c r="B11" s="6" t="s">
        <v>43</v>
      </c>
      <c r="C11" s="6" t="s">
        <v>669</v>
      </c>
      <c r="D11" s="6">
        <v>1</v>
      </c>
      <c r="E11" s="6" t="s">
        <v>996</v>
      </c>
      <c r="F11" s="6" t="s">
        <v>1011</v>
      </c>
      <c r="G11" s="6" t="s">
        <v>1012</v>
      </c>
      <c r="H11" s="13">
        <f t="shared" si="0"/>
        <v>542.5</v>
      </c>
      <c r="I11" s="6" t="s">
        <v>1013</v>
      </c>
    </row>
    <row r="12" spans="1:9" x14ac:dyDescent="0.3">
      <c r="A12" s="6" t="s">
        <v>1014</v>
      </c>
      <c r="B12" s="6" t="s">
        <v>41</v>
      </c>
      <c r="C12" s="6" t="s">
        <v>799</v>
      </c>
      <c r="D12" s="6">
        <v>1</v>
      </c>
      <c r="E12" s="6" t="s">
        <v>1015</v>
      </c>
      <c r="F12" s="6" t="s">
        <v>1016</v>
      </c>
      <c r="G12" s="6" t="s">
        <v>996</v>
      </c>
      <c r="H12" s="13">
        <f t="shared" si="0"/>
        <v>123.75</v>
      </c>
      <c r="I12" s="6" t="s">
        <v>981</v>
      </c>
    </row>
    <row r="13" spans="1:9" x14ac:dyDescent="0.3">
      <c r="A13" s="6" t="s">
        <v>1017</v>
      </c>
      <c r="B13" s="6" t="s">
        <v>46</v>
      </c>
      <c r="C13" s="6" t="s">
        <v>399</v>
      </c>
      <c r="D13" s="6">
        <v>1</v>
      </c>
      <c r="E13" s="6" t="s">
        <v>1000</v>
      </c>
      <c r="F13" s="6" t="s">
        <v>1018</v>
      </c>
      <c r="G13" s="6" t="s">
        <v>1019</v>
      </c>
      <c r="H13" s="13">
        <f t="shared" si="0"/>
        <v>175</v>
      </c>
      <c r="I13" s="6" t="s">
        <v>1020</v>
      </c>
    </row>
    <row r="14" spans="1:9" x14ac:dyDescent="0.3">
      <c r="A14" s="6" t="s">
        <v>1021</v>
      </c>
      <c r="B14" s="6" t="s">
        <v>46</v>
      </c>
      <c r="C14" s="6" t="s">
        <v>459</v>
      </c>
      <c r="D14" s="6">
        <v>1</v>
      </c>
      <c r="E14" s="6" t="s">
        <v>1011</v>
      </c>
      <c r="F14" s="6" t="s">
        <v>978</v>
      </c>
      <c r="G14" s="6" t="s">
        <v>1022</v>
      </c>
      <c r="H14" s="13">
        <f t="shared" si="0"/>
        <v>128.75</v>
      </c>
      <c r="I14" s="6" t="s">
        <v>1023</v>
      </c>
    </row>
    <row r="15" spans="1:9" x14ac:dyDescent="0.3">
      <c r="A15" s="6" t="s">
        <v>1024</v>
      </c>
      <c r="B15" s="6" t="s">
        <v>48</v>
      </c>
      <c r="C15" s="6" t="s">
        <v>375</v>
      </c>
      <c r="D15" s="6">
        <v>1</v>
      </c>
      <c r="E15" s="6" t="s">
        <v>1025</v>
      </c>
      <c r="F15" s="6" t="s">
        <v>1026</v>
      </c>
      <c r="G15" s="6" t="s">
        <v>1027</v>
      </c>
      <c r="H15" s="13">
        <f t="shared" si="0"/>
        <v>136.25</v>
      </c>
      <c r="I15" s="6" t="s">
        <v>1028</v>
      </c>
    </row>
    <row r="16" spans="1:9" x14ac:dyDescent="0.3">
      <c r="A16" s="6" t="s">
        <v>1029</v>
      </c>
      <c r="B16" s="6" t="s">
        <v>54</v>
      </c>
      <c r="C16" s="6" t="s">
        <v>370</v>
      </c>
      <c r="D16" s="6">
        <v>1</v>
      </c>
      <c r="E16" s="6" t="s">
        <v>985</v>
      </c>
      <c r="F16" s="6" t="s">
        <v>1030</v>
      </c>
      <c r="G16" s="6" t="s">
        <v>991</v>
      </c>
      <c r="H16" s="13">
        <f t="shared" si="0"/>
        <v>131.25</v>
      </c>
      <c r="I16" s="6" t="s">
        <v>1031</v>
      </c>
    </row>
    <row r="17" spans="1:9" x14ac:dyDescent="0.3">
      <c r="A17" s="6" t="s">
        <v>1032</v>
      </c>
      <c r="B17" s="6" t="s">
        <v>54</v>
      </c>
      <c r="C17" s="6" t="s">
        <v>373</v>
      </c>
      <c r="D17" s="6">
        <v>1</v>
      </c>
      <c r="E17" s="6" t="s">
        <v>1033</v>
      </c>
      <c r="F17" s="6" t="s">
        <v>1034</v>
      </c>
      <c r="G17" s="6" t="s">
        <v>985</v>
      </c>
      <c r="H17" s="13">
        <f t="shared" si="0"/>
        <v>123.75</v>
      </c>
      <c r="I17" s="6" t="s">
        <v>981</v>
      </c>
    </row>
    <row r="18" spans="1:9" x14ac:dyDescent="0.3">
      <c r="A18" s="13" t="s">
        <v>3083</v>
      </c>
      <c r="B18" s="11" t="s">
        <v>56</v>
      </c>
      <c r="C18" s="13" t="s">
        <v>204</v>
      </c>
      <c r="D18" s="13">
        <v>1</v>
      </c>
      <c r="E18" s="13">
        <v>1.0000000000000001E-5</v>
      </c>
      <c r="F18" s="13">
        <v>1.0000000000000001E-5</v>
      </c>
      <c r="G18" s="13">
        <v>2E-3</v>
      </c>
      <c r="H18" s="13">
        <f t="shared" si="0"/>
        <v>233.75</v>
      </c>
      <c r="I18" s="13">
        <v>187</v>
      </c>
    </row>
    <row r="19" spans="1:9" x14ac:dyDescent="0.3">
      <c r="A19" s="13" t="s">
        <v>3084</v>
      </c>
      <c r="B19" s="11" t="s">
        <v>56</v>
      </c>
      <c r="C19" s="13" t="s">
        <v>204</v>
      </c>
      <c r="D19" s="13">
        <v>1</v>
      </c>
      <c r="E19" s="13">
        <v>1.0000000000000001E-5</v>
      </c>
      <c r="F19" s="13">
        <v>1.0000000000000001E-5</v>
      </c>
      <c r="G19" s="13">
        <v>2E-3</v>
      </c>
      <c r="H19" s="13">
        <f t="shared" si="0"/>
        <v>233.75</v>
      </c>
      <c r="I19" s="13">
        <v>187</v>
      </c>
    </row>
    <row r="20" spans="1:9" x14ac:dyDescent="0.3">
      <c r="A20" s="13" t="s">
        <v>3134</v>
      </c>
      <c r="B20" s="11" t="s">
        <v>56</v>
      </c>
      <c r="C20" s="13" t="s">
        <v>516</v>
      </c>
      <c r="D20" s="13">
        <v>1</v>
      </c>
      <c r="E20" s="13">
        <v>1.0000000000000001E-5</v>
      </c>
      <c r="F20" s="13">
        <v>2E-3</v>
      </c>
      <c r="G20" s="13">
        <v>1.9E-2</v>
      </c>
      <c r="H20" s="13">
        <f t="shared" si="0"/>
        <v>233.75</v>
      </c>
      <c r="I20" s="13">
        <v>187</v>
      </c>
    </row>
    <row r="21" spans="1:9" x14ac:dyDescent="0.3">
      <c r="A21" s="6" t="s">
        <v>1035</v>
      </c>
      <c r="B21" s="6" t="s">
        <v>54</v>
      </c>
      <c r="C21" s="6" t="s">
        <v>703</v>
      </c>
      <c r="D21" s="6">
        <v>1</v>
      </c>
      <c r="E21" s="6" t="s">
        <v>1036</v>
      </c>
      <c r="F21" s="6" t="s">
        <v>1037</v>
      </c>
      <c r="G21" s="6" t="s">
        <v>992</v>
      </c>
      <c r="H21" s="13">
        <f t="shared" si="0"/>
        <v>130</v>
      </c>
      <c r="I21" s="6" t="s">
        <v>1038</v>
      </c>
    </row>
    <row r="22" spans="1:9" x14ac:dyDescent="0.3">
      <c r="A22" s="6" t="s">
        <v>1039</v>
      </c>
      <c r="B22" s="6" t="s">
        <v>57</v>
      </c>
      <c r="C22" s="6" t="s">
        <v>485</v>
      </c>
      <c r="D22" s="6">
        <v>1</v>
      </c>
      <c r="E22" s="6" t="s">
        <v>1018</v>
      </c>
      <c r="F22" s="6" t="s">
        <v>985</v>
      </c>
      <c r="G22" s="6" t="s">
        <v>1018</v>
      </c>
      <c r="H22" s="13">
        <f t="shared" si="0"/>
        <v>140</v>
      </c>
      <c r="I22" s="6" t="s">
        <v>1040</v>
      </c>
    </row>
    <row r="23" spans="1:9" x14ac:dyDescent="0.3">
      <c r="A23" s="6" t="s">
        <v>1041</v>
      </c>
      <c r="B23" s="6" t="s">
        <v>60</v>
      </c>
      <c r="C23" s="6" t="s">
        <v>345</v>
      </c>
      <c r="D23" s="6">
        <v>1</v>
      </c>
      <c r="E23" s="6" t="s">
        <v>991</v>
      </c>
      <c r="F23" s="6" t="s">
        <v>987</v>
      </c>
      <c r="G23" s="6" t="s">
        <v>996</v>
      </c>
      <c r="H23" s="13">
        <f t="shared" si="0"/>
        <v>131.25</v>
      </c>
      <c r="I23" s="6" t="s">
        <v>1031</v>
      </c>
    </row>
    <row r="24" spans="1:9" x14ac:dyDescent="0.3">
      <c r="A24" s="6" t="s">
        <v>1042</v>
      </c>
      <c r="B24" s="6" t="s">
        <v>62</v>
      </c>
      <c r="C24" s="6" t="s">
        <v>470</v>
      </c>
      <c r="D24" s="6">
        <v>1</v>
      </c>
      <c r="E24" s="6" t="s">
        <v>985</v>
      </c>
      <c r="F24" s="6" t="s">
        <v>1043</v>
      </c>
      <c r="G24" s="6" t="s">
        <v>991</v>
      </c>
      <c r="H24" s="13">
        <f t="shared" si="0"/>
        <v>102.5</v>
      </c>
      <c r="I24" s="6" t="s">
        <v>1044</v>
      </c>
    </row>
    <row r="25" spans="1:9" x14ac:dyDescent="0.3">
      <c r="A25" s="6" t="s">
        <v>1045</v>
      </c>
      <c r="B25" s="6" t="s">
        <v>62</v>
      </c>
      <c r="C25" s="6" t="s">
        <v>470</v>
      </c>
      <c r="D25" s="6">
        <v>1</v>
      </c>
      <c r="E25" s="6" t="s">
        <v>985</v>
      </c>
      <c r="F25" s="6" t="s">
        <v>1043</v>
      </c>
      <c r="G25" s="6" t="s">
        <v>991</v>
      </c>
      <c r="H25" s="13">
        <f t="shared" si="0"/>
        <v>102.5</v>
      </c>
      <c r="I25" s="6" t="s">
        <v>1044</v>
      </c>
    </row>
    <row r="26" spans="1:9" x14ac:dyDescent="0.3">
      <c r="A26" s="6" t="s">
        <v>1046</v>
      </c>
      <c r="B26" s="6" t="s">
        <v>66</v>
      </c>
      <c r="C26" s="6" t="s">
        <v>764</v>
      </c>
      <c r="D26" s="6">
        <v>1</v>
      </c>
      <c r="E26" s="6" t="s">
        <v>1047</v>
      </c>
      <c r="F26" s="6" t="s">
        <v>1048</v>
      </c>
      <c r="G26" s="6" t="s">
        <v>1016</v>
      </c>
      <c r="H26" s="13">
        <f t="shared" si="0"/>
        <v>131.25</v>
      </c>
      <c r="I26" s="6" t="s">
        <v>1031</v>
      </c>
    </row>
    <row r="27" spans="1:9" x14ac:dyDescent="0.3">
      <c r="A27" s="6" t="s">
        <v>1049</v>
      </c>
      <c r="B27" s="6" t="s">
        <v>70</v>
      </c>
      <c r="C27" s="6" t="s">
        <v>68</v>
      </c>
      <c r="D27" s="6">
        <v>1</v>
      </c>
      <c r="E27" s="6" t="s">
        <v>995</v>
      </c>
      <c r="F27" s="6" t="s">
        <v>996</v>
      </c>
      <c r="G27" s="6" t="s">
        <v>995</v>
      </c>
      <c r="H27" s="13">
        <f t="shared" si="0"/>
        <v>131.25</v>
      </c>
      <c r="I27" s="6" t="s">
        <v>1031</v>
      </c>
    </row>
    <row r="28" spans="1:9" x14ac:dyDescent="0.3">
      <c r="A28" s="6" t="s">
        <v>1050</v>
      </c>
      <c r="B28" s="6" t="s">
        <v>72</v>
      </c>
      <c r="C28" s="6" t="s">
        <v>108</v>
      </c>
      <c r="D28" s="6">
        <v>1</v>
      </c>
      <c r="E28" s="6" t="s">
        <v>1051</v>
      </c>
      <c r="F28" s="6" t="s">
        <v>1052</v>
      </c>
      <c r="G28" s="6" t="s">
        <v>987</v>
      </c>
      <c r="H28" s="13">
        <f t="shared" si="0"/>
        <v>123.75</v>
      </c>
      <c r="I28" s="6" t="s">
        <v>981</v>
      </c>
    </row>
    <row r="29" spans="1:9" x14ac:dyDescent="0.3">
      <c r="A29" s="6" t="s">
        <v>1053</v>
      </c>
      <c r="B29" s="6" t="s">
        <v>72</v>
      </c>
      <c r="C29" s="6" t="s">
        <v>147</v>
      </c>
      <c r="D29" s="6">
        <v>1</v>
      </c>
      <c r="E29" s="6" t="s">
        <v>1054</v>
      </c>
      <c r="F29" s="6" t="s">
        <v>1026</v>
      </c>
      <c r="G29" s="6" t="s">
        <v>1051</v>
      </c>
      <c r="H29" s="13">
        <f t="shared" si="0"/>
        <v>222.5</v>
      </c>
      <c r="I29" s="6" t="s">
        <v>989</v>
      </c>
    </row>
    <row r="30" spans="1:9" x14ac:dyDescent="0.3">
      <c r="A30" s="6" t="s">
        <v>1055</v>
      </c>
      <c r="B30" s="6" t="s">
        <v>74</v>
      </c>
      <c r="C30" s="6" t="s">
        <v>241</v>
      </c>
      <c r="D30" s="6">
        <v>1</v>
      </c>
      <c r="E30" s="6" t="s">
        <v>980</v>
      </c>
      <c r="F30" s="6" t="s">
        <v>1056</v>
      </c>
      <c r="G30" s="6" t="s">
        <v>1057</v>
      </c>
      <c r="H30" s="13">
        <f t="shared" si="0"/>
        <v>542.5</v>
      </c>
      <c r="I30" s="6" t="s">
        <v>1013</v>
      </c>
    </row>
    <row r="31" spans="1:9" x14ac:dyDescent="0.3">
      <c r="A31" s="6" t="s">
        <v>1058</v>
      </c>
      <c r="B31" s="6" t="s">
        <v>74</v>
      </c>
      <c r="C31" s="13" t="s">
        <v>562</v>
      </c>
      <c r="D31" s="6">
        <v>1</v>
      </c>
      <c r="E31" s="6" t="s">
        <v>1015</v>
      </c>
      <c r="F31" s="6" t="s">
        <v>1005</v>
      </c>
      <c r="G31" s="6" t="s">
        <v>1059</v>
      </c>
      <c r="H31" s="13">
        <f t="shared" si="0"/>
        <v>542.5</v>
      </c>
      <c r="I31" s="6" t="s">
        <v>1013</v>
      </c>
    </row>
    <row r="32" spans="1:9" x14ac:dyDescent="0.3">
      <c r="A32" s="6" t="s">
        <v>1060</v>
      </c>
      <c r="B32" s="6" t="s">
        <v>72</v>
      </c>
      <c r="C32" s="6" t="s">
        <v>707</v>
      </c>
      <c r="D32" s="6">
        <v>1</v>
      </c>
      <c r="E32" s="6" t="s">
        <v>1018</v>
      </c>
      <c r="F32" s="6" t="s">
        <v>1061</v>
      </c>
      <c r="G32" s="6" t="s">
        <v>996</v>
      </c>
      <c r="H32" s="13">
        <f t="shared" si="0"/>
        <v>42.5</v>
      </c>
      <c r="I32" s="6" t="s">
        <v>1062</v>
      </c>
    </row>
    <row r="33" spans="1:9" x14ac:dyDescent="0.3">
      <c r="A33" s="6" t="s">
        <v>1063</v>
      </c>
      <c r="B33" s="6" t="s">
        <v>76</v>
      </c>
      <c r="C33" s="6" t="s">
        <v>380</v>
      </c>
      <c r="D33" s="6">
        <v>1</v>
      </c>
      <c r="E33" s="6" t="s">
        <v>1015</v>
      </c>
      <c r="F33" s="6" t="s">
        <v>1051</v>
      </c>
      <c r="G33" s="6" t="s">
        <v>1064</v>
      </c>
      <c r="H33" s="13">
        <f t="shared" si="0"/>
        <v>150</v>
      </c>
      <c r="I33" s="6" t="s">
        <v>1065</v>
      </c>
    </row>
    <row r="34" spans="1:9" x14ac:dyDescent="0.3">
      <c r="A34" s="6" t="s">
        <v>1066</v>
      </c>
      <c r="B34" s="6" t="s">
        <v>76</v>
      </c>
      <c r="C34" s="6" t="s">
        <v>574</v>
      </c>
      <c r="D34" s="6">
        <v>1</v>
      </c>
      <c r="E34" s="6" t="s">
        <v>991</v>
      </c>
      <c r="F34" s="6" t="s">
        <v>980</v>
      </c>
      <c r="G34" s="6" t="s">
        <v>1043</v>
      </c>
      <c r="H34" s="13">
        <f t="shared" si="0"/>
        <v>150</v>
      </c>
      <c r="I34" s="6" t="s">
        <v>1065</v>
      </c>
    </row>
    <row r="35" spans="1:9" x14ac:dyDescent="0.3">
      <c r="A35" s="6" t="s">
        <v>1067</v>
      </c>
      <c r="B35" s="6" t="s">
        <v>78</v>
      </c>
      <c r="C35" s="6" t="s">
        <v>275</v>
      </c>
      <c r="D35" s="6">
        <v>1</v>
      </c>
      <c r="E35" s="6" t="s">
        <v>1068</v>
      </c>
      <c r="F35" s="6" t="s">
        <v>1069</v>
      </c>
      <c r="G35" s="6" t="s">
        <v>1070</v>
      </c>
      <c r="H35" s="13">
        <f t="shared" si="0"/>
        <v>130</v>
      </c>
      <c r="I35" s="6" t="s">
        <v>1038</v>
      </c>
    </row>
    <row r="36" spans="1:9" x14ac:dyDescent="0.3">
      <c r="A36" s="6" t="s">
        <v>1071</v>
      </c>
      <c r="B36" s="6" t="s">
        <v>78</v>
      </c>
      <c r="C36" s="6" t="s">
        <v>441</v>
      </c>
      <c r="D36" s="6">
        <v>1</v>
      </c>
      <c r="E36" s="6" t="s">
        <v>1027</v>
      </c>
      <c r="F36" s="6" t="s">
        <v>1072</v>
      </c>
      <c r="G36" s="6" t="s">
        <v>1016</v>
      </c>
      <c r="H36" s="13">
        <f t="shared" si="0"/>
        <v>222.5</v>
      </c>
      <c r="I36" s="6" t="s">
        <v>989</v>
      </c>
    </row>
    <row r="37" spans="1:9" x14ac:dyDescent="0.3">
      <c r="A37" s="6" t="s">
        <v>1073</v>
      </c>
      <c r="B37" s="6" t="s">
        <v>78</v>
      </c>
      <c r="C37" s="6" t="s">
        <v>621</v>
      </c>
      <c r="D37" s="6">
        <v>1</v>
      </c>
      <c r="E37" s="6" t="s">
        <v>1074</v>
      </c>
      <c r="F37" s="6" t="s">
        <v>1075</v>
      </c>
      <c r="G37" s="6" t="s">
        <v>1076</v>
      </c>
      <c r="H37" s="13">
        <f t="shared" si="0"/>
        <v>222.5</v>
      </c>
      <c r="I37" s="6" t="s">
        <v>989</v>
      </c>
    </row>
    <row r="38" spans="1:9" x14ac:dyDescent="0.3">
      <c r="A38" s="6" t="s">
        <v>1077</v>
      </c>
      <c r="B38" s="6" t="s">
        <v>78</v>
      </c>
      <c r="C38" s="6" t="s">
        <v>711</v>
      </c>
      <c r="D38" s="6">
        <v>1</v>
      </c>
      <c r="E38" s="6" t="s">
        <v>985</v>
      </c>
      <c r="F38" s="6" t="s">
        <v>1078</v>
      </c>
      <c r="G38" s="6" t="s">
        <v>987</v>
      </c>
      <c r="H38" s="13">
        <f t="shared" si="0"/>
        <v>222.5</v>
      </c>
      <c r="I38" s="6" t="s">
        <v>989</v>
      </c>
    </row>
    <row r="39" spans="1:9" x14ac:dyDescent="0.3">
      <c r="A39" s="6" t="s">
        <v>1079</v>
      </c>
      <c r="B39" s="6" t="s">
        <v>78</v>
      </c>
      <c r="C39" s="6" t="s">
        <v>711</v>
      </c>
      <c r="D39" s="6">
        <v>1</v>
      </c>
      <c r="E39" s="6" t="s">
        <v>1080</v>
      </c>
      <c r="F39" s="6" t="s">
        <v>1081</v>
      </c>
      <c r="G39" s="6" t="s">
        <v>1051</v>
      </c>
      <c r="H39" s="13">
        <f t="shared" si="0"/>
        <v>222.5</v>
      </c>
      <c r="I39" s="6" t="s">
        <v>989</v>
      </c>
    </row>
    <row r="40" spans="1:9" x14ac:dyDescent="0.3">
      <c r="A40" s="6" t="s">
        <v>1082</v>
      </c>
      <c r="B40" s="6" t="s">
        <v>80</v>
      </c>
      <c r="C40" s="6" t="s">
        <v>348</v>
      </c>
      <c r="D40" s="6">
        <v>1</v>
      </c>
      <c r="E40" s="6" t="s">
        <v>996</v>
      </c>
      <c r="F40" s="6" t="s">
        <v>980</v>
      </c>
      <c r="G40" s="6" t="s">
        <v>1078</v>
      </c>
      <c r="H40" s="13">
        <f t="shared" si="0"/>
        <v>150</v>
      </c>
      <c r="I40" s="6" t="s">
        <v>1065</v>
      </c>
    </row>
    <row r="41" spans="1:9" x14ac:dyDescent="0.3">
      <c r="A41" s="6" t="s">
        <v>1083</v>
      </c>
      <c r="B41" s="6" t="s">
        <v>80</v>
      </c>
      <c r="C41" s="6" t="s">
        <v>501</v>
      </c>
      <c r="D41" s="6">
        <v>1</v>
      </c>
      <c r="E41" s="6" t="s">
        <v>1018</v>
      </c>
      <c r="F41" s="6" t="s">
        <v>1054</v>
      </c>
      <c r="G41" s="6" t="s">
        <v>987</v>
      </c>
      <c r="H41" s="13">
        <f t="shared" si="0"/>
        <v>222.5</v>
      </c>
      <c r="I41" s="6" t="s">
        <v>989</v>
      </c>
    </row>
    <row r="42" spans="1:9" x14ac:dyDescent="0.3">
      <c r="A42" s="6" t="s">
        <v>1084</v>
      </c>
      <c r="B42" s="6" t="s">
        <v>82</v>
      </c>
      <c r="C42" s="6" t="s">
        <v>526</v>
      </c>
      <c r="D42" s="6">
        <v>1</v>
      </c>
      <c r="E42" s="6" t="s">
        <v>1047</v>
      </c>
      <c r="F42" s="6" t="s">
        <v>1085</v>
      </c>
      <c r="G42" s="6" t="s">
        <v>985</v>
      </c>
      <c r="H42" s="13">
        <f t="shared" si="0"/>
        <v>123.75</v>
      </c>
      <c r="I42" s="6" t="s">
        <v>981</v>
      </c>
    </row>
    <row r="43" spans="1:9" x14ac:dyDescent="0.3">
      <c r="A43" s="6" t="s">
        <v>1086</v>
      </c>
      <c r="B43" s="6" t="s">
        <v>82</v>
      </c>
      <c r="C43" s="6" t="s">
        <v>703</v>
      </c>
      <c r="D43" s="6">
        <v>1</v>
      </c>
      <c r="E43" s="6" t="s">
        <v>1070</v>
      </c>
      <c r="F43" s="6" t="s">
        <v>1087</v>
      </c>
      <c r="G43" s="6" t="s">
        <v>1016</v>
      </c>
      <c r="H43" s="13">
        <f t="shared" si="0"/>
        <v>222.5</v>
      </c>
      <c r="I43" s="6" t="s">
        <v>989</v>
      </c>
    </row>
    <row r="44" spans="1:9" x14ac:dyDescent="0.3">
      <c r="A44" s="6" t="s">
        <v>1088</v>
      </c>
      <c r="B44" s="6" t="s">
        <v>84</v>
      </c>
      <c r="C44" s="6" t="s">
        <v>459</v>
      </c>
      <c r="D44" s="6">
        <v>1</v>
      </c>
      <c r="E44" s="6" t="s">
        <v>1015</v>
      </c>
      <c r="F44" s="6" t="s">
        <v>1051</v>
      </c>
      <c r="G44" s="6" t="s">
        <v>1089</v>
      </c>
      <c r="H44" s="13">
        <f t="shared" si="0"/>
        <v>175</v>
      </c>
      <c r="I44" s="6" t="s">
        <v>1020</v>
      </c>
    </row>
    <row r="45" spans="1:9" x14ac:dyDescent="0.3">
      <c r="A45" s="6" t="s">
        <v>1090</v>
      </c>
      <c r="B45" s="6" t="s">
        <v>84</v>
      </c>
      <c r="C45" s="6" t="s">
        <v>459</v>
      </c>
      <c r="D45" s="6">
        <v>1</v>
      </c>
      <c r="E45" s="6" t="s">
        <v>1015</v>
      </c>
      <c r="F45" s="6" t="s">
        <v>1051</v>
      </c>
      <c r="G45" s="6" t="s">
        <v>1089</v>
      </c>
      <c r="H45" s="13">
        <f t="shared" si="0"/>
        <v>175</v>
      </c>
      <c r="I45" s="6" t="s">
        <v>1020</v>
      </c>
    </row>
    <row r="46" spans="1:9" x14ac:dyDescent="0.3">
      <c r="A46" s="6" t="s">
        <v>1091</v>
      </c>
      <c r="B46" s="6" t="s">
        <v>86</v>
      </c>
      <c r="C46" s="6" t="s">
        <v>262</v>
      </c>
      <c r="D46" s="6">
        <v>1</v>
      </c>
      <c r="E46" s="6" t="s">
        <v>1092</v>
      </c>
      <c r="F46" s="6" t="s">
        <v>1093</v>
      </c>
      <c r="G46" s="6" t="s">
        <v>1061</v>
      </c>
      <c r="H46" s="13">
        <f t="shared" si="0"/>
        <v>123.75</v>
      </c>
      <c r="I46" s="6" t="s">
        <v>981</v>
      </c>
    </row>
    <row r="47" spans="1:9" x14ac:dyDescent="0.3">
      <c r="A47" s="6" t="s">
        <v>3085</v>
      </c>
      <c r="B47" s="6" t="s">
        <v>86</v>
      </c>
      <c r="C47" s="6" t="s">
        <v>2982</v>
      </c>
      <c r="D47" s="6">
        <v>1</v>
      </c>
      <c r="E47" s="6">
        <v>3.4000000000000002E-2</v>
      </c>
      <c r="F47" s="6">
        <v>7.5999999999999998E-2</v>
      </c>
      <c r="G47" s="6">
        <v>7.0000000000000001E-3</v>
      </c>
      <c r="H47" s="13">
        <f t="shared" si="0"/>
        <v>131.25</v>
      </c>
      <c r="I47" s="6">
        <v>105</v>
      </c>
    </row>
    <row r="48" spans="1:9" x14ac:dyDescent="0.3">
      <c r="A48" s="6" t="s">
        <v>1094</v>
      </c>
      <c r="B48" s="6" t="s">
        <v>86</v>
      </c>
      <c r="C48" s="6" t="s">
        <v>657</v>
      </c>
      <c r="D48" s="6">
        <v>1</v>
      </c>
      <c r="E48" s="6" t="s">
        <v>997</v>
      </c>
      <c r="F48" s="6" t="s">
        <v>1095</v>
      </c>
      <c r="G48" s="6" t="s">
        <v>1061</v>
      </c>
      <c r="H48" s="13">
        <f t="shared" si="0"/>
        <v>123.75</v>
      </c>
      <c r="I48" s="6" t="s">
        <v>981</v>
      </c>
    </row>
    <row r="49" spans="1:9" x14ac:dyDescent="0.3">
      <c r="A49" s="6" t="s">
        <v>1096</v>
      </c>
      <c r="B49" s="6" t="s">
        <v>88</v>
      </c>
      <c r="C49" s="6" t="s">
        <v>228</v>
      </c>
      <c r="D49" s="6">
        <v>1</v>
      </c>
      <c r="E49" s="6" t="s">
        <v>996</v>
      </c>
      <c r="F49" s="6" t="s">
        <v>1000</v>
      </c>
      <c r="G49" s="6" t="s">
        <v>996</v>
      </c>
      <c r="H49" s="13">
        <f t="shared" si="0"/>
        <v>120</v>
      </c>
      <c r="I49" s="6" t="s">
        <v>1097</v>
      </c>
    </row>
    <row r="50" spans="1:9" x14ac:dyDescent="0.3">
      <c r="A50" s="6" t="s">
        <v>1098</v>
      </c>
      <c r="B50" s="6" t="s">
        <v>88</v>
      </c>
      <c r="C50" s="6" t="s">
        <v>228</v>
      </c>
      <c r="D50" s="6">
        <v>1</v>
      </c>
      <c r="E50" s="6" t="s">
        <v>996</v>
      </c>
      <c r="F50" s="6" t="s">
        <v>1000</v>
      </c>
      <c r="G50" s="6" t="s">
        <v>996</v>
      </c>
      <c r="H50" s="13">
        <f t="shared" si="0"/>
        <v>120</v>
      </c>
      <c r="I50" s="6" t="s">
        <v>1097</v>
      </c>
    </row>
    <row r="51" spans="1:9" x14ac:dyDescent="0.3">
      <c r="A51" s="6" t="s">
        <v>1099</v>
      </c>
      <c r="B51" s="6" t="s">
        <v>88</v>
      </c>
      <c r="C51" s="6" t="s">
        <v>507</v>
      </c>
      <c r="D51" s="6">
        <v>1</v>
      </c>
      <c r="E51" s="6" t="s">
        <v>1054</v>
      </c>
      <c r="F51" s="6" t="s">
        <v>1100</v>
      </c>
      <c r="G51" s="6" t="s">
        <v>985</v>
      </c>
      <c r="H51" s="13">
        <f t="shared" si="0"/>
        <v>222.5</v>
      </c>
      <c r="I51" s="6" t="s">
        <v>989</v>
      </c>
    </row>
    <row r="52" spans="1:9" x14ac:dyDescent="0.3">
      <c r="A52" s="6" t="s">
        <v>1101</v>
      </c>
      <c r="B52" s="6" t="s">
        <v>88</v>
      </c>
      <c r="C52" s="6" t="s">
        <v>611</v>
      </c>
      <c r="D52" s="6">
        <v>1</v>
      </c>
      <c r="E52" s="6" t="s">
        <v>992</v>
      </c>
      <c r="F52" s="6" t="s">
        <v>1102</v>
      </c>
      <c r="G52" s="6" t="s">
        <v>1051</v>
      </c>
      <c r="H52" s="13">
        <f t="shared" si="0"/>
        <v>222.5</v>
      </c>
      <c r="I52" s="6" t="s">
        <v>989</v>
      </c>
    </row>
    <row r="53" spans="1:9" x14ac:dyDescent="0.3">
      <c r="A53" s="6" t="s">
        <v>1103</v>
      </c>
      <c r="B53" s="6" t="s">
        <v>88</v>
      </c>
      <c r="C53" s="6" t="s">
        <v>710</v>
      </c>
      <c r="D53" s="6">
        <v>1</v>
      </c>
      <c r="E53" s="6" t="s">
        <v>996</v>
      </c>
      <c r="F53" s="6" t="s">
        <v>996</v>
      </c>
      <c r="G53" s="6" t="s">
        <v>980</v>
      </c>
      <c r="H53" s="13">
        <f t="shared" si="0"/>
        <v>150</v>
      </c>
      <c r="I53" s="6" t="s">
        <v>1065</v>
      </c>
    </row>
    <row r="54" spans="1:9" x14ac:dyDescent="0.3">
      <c r="A54" s="6" t="s">
        <v>1104</v>
      </c>
      <c r="B54" s="6" t="s">
        <v>88</v>
      </c>
      <c r="C54" s="6" t="s">
        <v>710</v>
      </c>
      <c r="D54" s="6">
        <v>1</v>
      </c>
      <c r="E54" s="6" t="s">
        <v>996</v>
      </c>
      <c r="F54" s="6" t="s">
        <v>996</v>
      </c>
      <c r="G54" s="6" t="s">
        <v>980</v>
      </c>
      <c r="H54" s="13">
        <f t="shared" si="0"/>
        <v>150</v>
      </c>
      <c r="I54" s="6" t="s">
        <v>1065</v>
      </c>
    </row>
    <row r="55" spans="1:9" x14ac:dyDescent="0.3">
      <c r="A55" s="6" t="s">
        <v>1105</v>
      </c>
      <c r="B55" s="6" t="s">
        <v>90</v>
      </c>
      <c r="C55" s="6" t="s">
        <v>216</v>
      </c>
      <c r="D55" s="6">
        <v>1</v>
      </c>
      <c r="E55" s="6" t="s">
        <v>1016</v>
      </c>
      <c r="F55" s="6" t="s">
        <v>1064</v>
      </c>
      <c r="G55" s="6" t="s">
        <v>980</v>
      </c>
      <c r="H55" s="13">
        <f t="shared" si="0"/>
        <v>222.5</v>
      </c>
      <c r="I55" s="6" t="s">
        <v>989</v>
      </c>
    </row>
    <row r="56" spans="1:9" x14ac:dyDescent="0.3">
      <c r="A56" s="6" t="s">
        <v>1106</v>
      </c>
      <c r="B56" s="6" t="s">
        <v>90</v>
      </c>
      <c r="C56" s="6" t="s">
        <v>358</v>
      </c>
      <c r="D56" s="6">
        <v>1</v>
      </c>
      <c r="E56" s="6" t="s">
        <v>1107</v>
      </c>
      <c r="F56" s="6" t="s">
        <v>1089</v>
      </c>
      <c r="G56" s="6" t="s">
        <v>987</v>
      </c>
      <c r="H56" s="13">
        <f t="shared" si="0"/>
        <v>222.5</v>
      </c>
      <c r="I56" s="6" t="s">
        <v>989</v>
      </c>
    </row>
    <row r="57" spans="1:9" x14ac:dyDescent="0.3">
      <c r="A57" s="6" t="s">
        <v>1108</v>
      </c>
      <c r="B57" s="6" t="s">
        <v>90</v>
      </c>
      <c r="C57" s="6" t="s">
        <v>327</v>
      </c>
      <c r="D57" s="6">
        <v>1</v>
      </c>
      <c r="E57" s="6">
        <v>7.0000000000000001E-3</v>
      </c>
      <c r="F57" s="6">
        <v>3.5000000000000003E-2</v>
      </c>
      <c r="G57" s="6">
        <v>4.0000000000000001E-3</v>
      </c>
      <c r="H57" s="13">
        <f t="shared" si="0"/>
        <v>222.5</v>
      </c>
      <c r="I57" s="6">
        <v>178</v>
      </c>
    </row>
    <row r="58" spans="1:9" x14ac:dyDescent="0.3">
      <c r="A58" s="6" t="s">
        <v>1109</v>
      </c>
      <c r="B58" s="6" t="s">
        <v>92</v>
      </c>
      <c r="C58" s="6" t="s">
        <v>156</v>
      </c>
      <c r="D58" s="6">
        <v>1</v>
      </c>
      <c r="E58" s="6" t="s">
        <v>1018</v>
      </c>
      <c r="F58" s="6" t="s">
        <v>1011</v>
      </c>
      <c r="G58" s="6" t="s">
        <v>996</v>
      </c>
      <c r="H58" s="13">
        <f t="shared" si="0"/>
        <v>131.25</v>
      </c>
      <c r="I58" s="6" t="s">
        <v>1031</v>
      </c>
    </row>
    <row r="59" spans="1:9" x14ac:dyDescent="0.3">
      <c r="A59" s="6" t="s">
        <v>1110</v>
      </c>
      <c r="B59" s="6" t="s">
        <v>92</v>
      </c>
      <c r="C59" s="6" t="s">
        <v>156</v>
      </c>
      <c r="D59" s="6">
        <v>1</v>
      </c>
      <c r="E59" s="6" t="s">
        <v>1018</v>
      </c>
      <c r="F59" s="6" t="s">
        <v>1011</v>
      </c>
      <c r="G59" s="6" t="s">
        <v>996</v>
      </c>
      <c r="H59" s="13">
        <f t="shared" si="0"/>
        <v>123.75</v>
      </c>
      <c r="I59" s="6" t="s">
        <v>981</v>
      </c>
    </row>
    <row r="60" spans="1:9" x14ac:dyDescent="0.3">
      <c r="A60" s="6" t="s">
        <v>1111</v>
      </c>
      <c r="B60" s="6" t="s">
        <v>92</v>
      </c>
      <c r="C60" s="6" t="s">
        <v>340</v>
      </c>
      <c r="D60" s="6">
        <v>1</v>
      </c>
      <c r="E60" s="6" t="s">
        <v>1112</v>
      </c>
      <c r="F60" s="6" t="s">
        <v>1102</v>
      </c>
      <c r="G60" s="6" t="s">
        <v>1061</v>
      </c>
      <c r="H60" s="13">
        <f t="shared" si="0"/>
        <v>123.75</v>
      </c>
      <c r="I60" s="6" t="s">
        <v>981</v>
      </c>
    </row>
    <row r="61" spans="1:9" x14ac:dyDescent="0.3">
      <c r="A61" s="6" t="s">
        <v>1113</v>
      </c>
      <c r="B61" s="6" t="s">
        <v>92</v>
      </c>
      <c r="C61" s="6" t="s">
        <v>667</v>
      </c>
      <c r="D61" s="6">
        <v>1</v>
      </c>
      <c r="E61" s="6" t="s">
        <v>1074</v>
      </c>
      <c r="F61" s="6" t="s">
        <v>1114</v>
      </c>
      <c r="G61" s="6" t="s">
        <v>985</v>
      </c>
      <c r="H61" s="13">
        <f t="shared" si="0"/>
        <v>123.75</v>
      </c>
      <c r="I61" s="6" t="s">
        <v>981</v>
      </c>
    </row>
    <row r="62" spans="1:9" x14ac:dyDescent="0.3">
      <c r="A62" s="6" t="s">
        <v>1115</v>
      </c>
      <c r="B62" s="6" t="s">
        <v>94</v>
      </c>
      <c r="C62" s="6" t="s">
        <v>742</v>
      </c>
      <c r="D62" s="6">
        <v>1</v>
      </c>
      <c r="E62" s="6" t="s">
        <v>1022</v>
      </c>
      <c r="F62" s="6" t="s">
        <v>1116</v>
      </c>
      <c r="G62" s="6" t="s">
        <v>980</v>
      </c>
      <c r="H62" s="13">
        <f t="shared" si="0"/>
        <v>102.5</v>
      </c>
      <c r="I62" s="6" t="s">
        <v>1044</v>
      </c>
    </row>
    <row r="63" spans="1:9" x14ac:dyDescent="0.3">
      <c r="A63" s="6" t="s">
        <v>1117</v>
      </c>
      <c r="B63" s="6" t="s">
        <v>94</v>
      </c>
      <c r="C63" s="6" t="s">
        <v>742</v>
      </c>
      <c r="D63" s="6">
        <v>1</v>
      </c>
      <c r="E63" s="6" t="s">
        <v>1027</v>
      </c>
      <c r="F63" s="6" t="s">
        <v>1118</v>
      </c>
      <c r="G63" s="6" t="s">
        <v>1015</v>
      </c>
      <c r="H63" s="13">
        <f t="shared" si="0"/>
        <v>102.5</v>
      </c>
      <c r="I63" s="6" t="s">
        <v>1044</v>
      </c>
    </row>
    <row r="64" spans="1:9" x14ac:dyDescent="0.3">
      <c r="A64" s="6" t="s">
        <v>1119</v>
      </c>
      <c r="B64" s="6" t="s">
        <v>100</v>
      </c>
      <c r="C64" s="6" t="s">
        <v>98</v>
      </c>
      <c r="D64" s="6">
        <v>1</v>
      </c>
      <c r="E64" s="6" t="s">
        <v>995</v>
      </c>
      <c r="F64" s="6" t="s">
        <v>996</v>
      </c>
      <c r="G64" s="6" t="s">
        <v>995</v>
      </c>
      <c r="H64" s="13">
        <f t="shared" si="0"/>
        <v>170</v>
      </c>
      <c r="I64" s="6" t="s">
        <v>1120</v>
      </c>
    </row>
    <row r="65" spans="1:9" x14ac:dyDescent="0.3">
      <c r="A65" s="6" t="s">
        <v>1121</v>
      </c>
      <c r="B65" s="6" t="s">
        <v>102</v>
      </c>
      <c r="C65" s="6" t="s">
        <v>239</v>
      </c>
      <c r="D65" s="6">
        <v>1</v>
      </c>
      <c r="E65" s="6" t="s">
        <v>1000</v>
      </c>
      <c r="F65" s="6" t="s">
        <v>1015</v>
      </c>
      <c r="G65" s="6" t="s">
        <v>1122</v>
      </c>
      <c r="H65" s="13">
        <f t="shared" si="0"/>
        <v>175</v>
      </c>
      <c r="I65" s="6" t="s">
        <v>1020</v>
      </c>
    </row>
    <row r="66" spans="1:9" x14ac:dyDescent="0.3">
      <c r="A66" s="6" t="s">
        <v>1123</v>
      </c>
      <c r="B66" s="6" t="s">
        <v>102</v>
      </c>
      <c r="C66" s="6" t="s">
        <v>271</v>
      </c>
      <c r="D66" s="6">
        <v>1</v>
      </c>
      <c r="E66" s="6" t="s">
        <v>1070</v>
      </c>
      <c r="F66" s="6" t="s">
        <v>1124</v>
      </c>
      <c r="G66" s="6" t="s">
        <v>978</v>
      </c>
      <c r="H66" s="13">
        <f t="shared" si="0"/>
        <v>162.5</v>
      </c>
      <c r="I66" s="6" t="s">
        <v>1125</v>
      </c>
    </row>
    <row r="67" spans="1:9" x14ac:dyDescent="0.3">
      <c r="A67" s="6" t="s">
        <v>1126</v>
      </c>
      <c r="B67" s="6" t="s">
        <v>104</v>
      </c>
      <c r="C67" s="6" t="s">
        <v>595</v>
      </c>
      <c r="D67" s="6">
        <v>1</v>
      </c>
      <c r="E67" s="6" t="s">
        <v>1051</v>
      </c>
      <c r="F67" s="6" t="s">
        <v>1043</v>
      </c>
      <c r="G67" s="6" t="s">
        <v>1127</v>
      </c>
      <c r="H67" s="13">
        <f t="shared" ref="H67:H130" si="1">I67*1.25</f>
        <v>123.75</v>
      </c>
      <c r="I67" s="6" t="s">
        <v>981</v>
      </c>
    </row>
    <row r="68" spans="1:9" x14ac:dyDescent="0.3">
      <c r="A68" s="6" t="s">
        <v>1128</v>
      </c>
      <c r="B68" s="6" t="s">
        <v>104</v>
      </c>
      <c r="C68" s="6" t="s">
        <v>626</v>
      </c>
      <c r="D68" s="6">
        <v>1</v>
      </c>
      <c r="E68" s="6" t="s">
        <v>980</v>
      </c>
      <c r="F68" s="6" t="s">
        <v>992</v>
      </c>
      <c r="G68" s="6" t="s">
        <v>1030</v>
      </c>
      <c r="H68" s="13">
        <f t="shared" si="1"/>
        <v>152.5</v>
      </c>
      <c r="I68" s="6" t="s">
        <v>1129</v>
      </c>
    </row>
    <row r="69" spans="1:9" x14ac:dyDescent="0.3">
      <c r="A69" s="6" t="s">
        <v>1130</v>
      </c>
      <c r="B69" s="6" t="s">
        <v>106</v>
      </c>
      <c r="C69" s="6" t="s">
        <v>309</v>
      </c>
      <c r="D69" s="6">
        <v>1</v>
      </c>
      <c r="E69" s="6" t="s">
        <v>1122</v>
      </c>
      <c r="F69" s="6" t="s">
        <v>1131</v>
      </c>
      <c r="G69" s="6" t="s">
        <v>987</v>
      </c>
      <c r="H69" s="13">
        <f t="shared" si="1"/>
        <v>245</v>
      </c>
      <c r="I69" s="6" t="s">
        <v>1132</v>
      </c>
    </row>
    <row r="70" spans="1:9" x14ac:dyDescent="0.3">
      <c r="A70" s="6" t="s">
        <v>1133</v>
      </c>
      <c r="B70" s="6" t="s">
        <v>106</v>
      </c>
      <c r="C70" s="6" t="s">
        <v>345</v>
      </c>
      <c r="D70" s="6">
        <v>1</v>
      </c>
      <c r="E70" s="6" t="s">
        <v>987</v>
      </c>
      <c r="F70" s="6" t="s">
        <v>988</v>
      </c>
      <c r="G70" s="6" t="s">
        <v>1018</v>
      </c>
      <c r="H70" s="13">
        <f t="shared" si="1"/>
        <v>222.5</v>
      </c>
      <c r="I70" s="6" t="s">
        <v>989</v>
      </c>
    </row>
    <row r="71" spans="1:9" x14ac:dyDescent="0.3">
      <c r="A71" s="6" t="s">
        <v>1134</v>
      </c>
      <c r="B71" s="6" t="s">
        <v>108</v>
      </c>
      <c r="C71" s="6" t="s">
        <v>239</v>
      </c>
      <c r="D71" s="6">
        <v>1</v>
      </c>
      <c r="E71" s="6" t="s">
        <v>1080</v>
      </c>
      <c r="F71" s="6" t="s">
        <v>1135</v>
      </c>
      <c r="G71" s="6" t="s">
        <v>1051</v>
      </c>
      <c r="H71" s="13">
        <f t="shared" si="1"/>
        <v>170</v>
      </c>
      <c r="I71" s="6" t="s">
        <v>1120</v>
      </c>
    </row>
    <row r="72" spans="1:9" x14ac:dyDescent="0.3">
      <c r="A72" s="6" t="s">
        <v>1136</v>
      </c>
      <c r="B72" s="6" t="s">
        <v>110</v>
      </c>
      <c r="C72" s="6" t="s">
        <v>247</v>
      </c>
      <c r="D72" s="6">
        <v>1</v>
      </c>
      <c r="E72" s="6" t="s">
        <v>1061</v>
      </c>
      <c r="F72" s="6" t="s">
        <v>1112</v>
      </c>
      <c r="G72" s="6" t="s">
        <v>978</v>
      </c>
      <c r="H72" s="13">
        <f t="shared" si="1"/>
        <v>222.5</v>
      </c>
      <c r="I72" s="6" t="s">
        <v>989</v>
      </c>
    </row>
    <row r="73" spans="1:9" x14ac:dyDescent="0.3">
      <c r="A73" s="13" t="s">
        <v>1137</v>
      </c>
      <c r="B73" s="13" t="s">
        <v>112</v>
      </c>
      <c r="C73" s="13" t="s">
        <v>590</v>
      </c>
      <c r="D73" s="13">
        <v>1</v>
      </c>
      <c r="E73" s="13">
        <v>7.0000000000000001E-3</v>
      </c>
      <c r="F73" s="13">
        <v>1.4999999999999999E-2</v>
      </c>
      <c r="G73" s="15">
        <v>0.1</v>
      </c>
      <c r="H73" s="13">
        <f t="shared" si="1"/>
        <v>155</v>
      </c>
      <c r="I73" s="13">
        <v>124</v>
      </c>
    </row>
    <row r="74" spans="1:9" x14ac:dyDescent="0.3">
      <c r="A74" s="6" t="s">
        <v>3086</v>
      </c>
      <c r="B74" s="6" t="s">
        <v>3087</v>
      </c>
      <c r="C74" s="6" t="s">
        <v>2982</v>
      </c>
      <c r="D74" s="6">
        <v>1</v>
      </c>
      <c r="E74" s="6">
        <v>1.7999999999999999E-2</v>
      </c>
      <c r="F74" s="6">
        <v>9.0999999999999998E-2</v>
      </c>
      <c r="G74" s="6">
        <v>0.01</v>
      </c>
      <c r="H74" s="13">
        <f t="shared" si="1"/>
        <v>222.5</v>
      </c>
      <c r="I74" s="6" t="s">
        <v>989</v>
      </c>
    </row>
    <row r="75" spans="1:9" x14ac:dyDescent="0.3">
      <c r="A75" s="6" t="s">
        <v>3088</v>
      </c>
      <c r="B75" s="6" t="s">
        <v>3087</v>
      </c>
      <c r="C75" s="6" t="s">
        <v>3006</v>
      </c>
      <c r="D75" s="6">
        <v>1</v>
      </c>
      <c r="E75" s="6">
        <v>8.9999999999999993E-3</v>
      </c>
      <c r="F75" s="6">
        <v>4.3999999999999997E-2</v>
      </c>
      <c r="G75" s="6">
        <v>5.0000000000000001E-3</v>
      </c>
      <c r="H75" s="13">
        <f t="shared" si="1"/>
        <v>222.5</v>
      </c>
      <c r="I75" s="6" t="s">
        <v>989</v>
      </c>
    </row>
    <row r="76" spans="1:9" x14ac:dyDescent="0.3">
      <c r="A76" s="6" t="s">
        <v>3089</v>
      </c>
      <c r="B76" s="6" t="s">
        <v>3087</v>
      </c>
      <c r="C76" s="6" t="s">
        <v>479</v>
      </c>
      <c r="D76" s="6">
        <v>1</v>
      </c>
      <c r="E76" s="6">
        <v>1.4E-2</v>
      </c>
      <c r="F76" s="6">
        <v>7.1999999999999995E-2</v>
      </c>
      <c r="G76" s="6">
        <v>8.0000000000000002E-3</v>
      </c>
      <c r="H76" s="13">
        <f t="shared" si="1"/>
        <v>222.5</v>
      </c>
      <c r="I76" s="6" t="s">
        <v>989</v>
      </c>
    </row>
    <row r="77" spans="1:9" x14ac:dyDescent="0.3">
      <c r="A77" s="6" t="s">
        <v>1138</v>
      </c>
      <c r="B77" s="6" t="s">
        <v>114</v>
      </c>
      <c r="C77" s="6" t="s">
        <v>226</v>
      </c>
      <c r="D77" s="6">
        <v>1</v>
      </c>
      <c r="E77" s="6" t="s">
        <v>1139</v>
      </c>
      <c r="F77" s="6" t="s">
        <v>1140</v>
      </c>
      <c r="G77" s="6" t="s">
        <v>1016</v>
      </c>
      <c r="H77" s="13">
        <f t="shared" si="1"/>
        <v>123.75</v>
      </c>
      <c r="I77" s="6" t="s">
        <v>981</v>
      </c>
    </row>
    <row r="78" spans="1:9" x14ac:dyDescent="0.3">
      <c r="A78" s="6" t="s">
        <v>1141</v>
      </c>
      <c r="B78" s="6" t="s">
        <v>114</v>
      </c>
      <c r="C78" s="6" t="s">
        <v>764</v>
      </c>
      <c r="D78" s="6">
        <v>1</v>
      </c>
      <c r="E78" s="6" t="s">
        <v>1022</v>
      </c>
      <c r="F78" s="6" t="s">
        <v>1142</v>
      </c>
      <c r="G78" s="6" t="s">
        <v>1061</v>
      </c>
      <c r="H78" s="13">
        <f t="shared" si="1"/>
        <v>170</v>
      </c>
      <c r="I78" s="6" t="s">
        <v>1120</v>
      </c>
    </row>
    <row r="79" spans="1:9" x14ac:dyDescent="0.3">
      <c r="A79" s="6" t="s">
        <v>1143</v>
      </c>
      <c r="B79" s="6" t="s">
        <v>116</v>
      </c>
      <c r="C79" s="6" t="s">
        <v>202</v>
      </c>
      <c r="D79" s="6">
        <v>1</v>
      </c>
      <c r="E79" s="6" t="s">
        <v>1139</v>
      </c>
      <c r="F79" s="6" t="s">
        <v>1144</v>
      </c>
      <c r="G79" s="6" t="s">
        <v>1070</v>
      </c>
      <c r="H79" s="13">
        <f t="shared" si="1"/>
        <v>243.75</v>
      </c>
      <c r="I79" s="6" t="s">
        <v>1145</v>
      </c>
    </row>
    <row r="80" spans="1:9" x14ac:dyDescent="0.3">
      <c r="A80" s="6" t="s">
        <v>1146</v>
      </c>
      <c r="B80" s="6" t="s">
        <v>116</v>
      </c>
      <c r="C80" s="6" t="s">
        <v>231</v>
      </c>
      <c r="D80" s="6">
        <v>1</v>
      </c>
      <c r="E80" s="6" t="s">
        <v>1000</v>
      </c>
      <c r="F80" s="6" t="s">
        <v>1016</v>
      </c>
      <c r="G80" s="6" t="s">
        <v>996</v>
      </c>
      <c r="H80" s="13">
        <f t="shared" si="1"/>
        <v>222.5</v>
      </c>
      <c r="I80" s="6" t="s">
        <v>989</v>
      </c>
    </row>
    <row r="81" spans="1:9" x14ac:dyDescent="0.3">
      <c r="A81" s="6" t="s">
        <v>1147</v>
      </c>
      <c r="B81" s="6" t="s">
        <v>116</v>
      </c>
      <c r="C81" s="6" t="s">
        <v>597</v>
      </c>
      <c r="D81" s="6">
        <v>1</v>
      </c>
      <c r="E81" s="6" t="s">
        <v>992</v>
      </c>
      <c r="F81" s="6" t="s">
        <v>1095</v>
      </c>
      <c r="G81" s="6" t="s">
        <v>1051</v>
      </c>
      <c r="H81" s="13">
        <f t="shared" si="1"/>
        <v>222.5</v>
      </c>
      <c r="I81" s="6" t="s">
        <v>989</v>
      </c>
    </row>
    <row r="82" spans="1:9" x14ac:dyDescent="0.3">
      <c r="A82" s="6" t="s">
        <v>1148</v>
      </c>
      <c r="B82" s="6" t="s">
        <v>116</v>
      </c>
      <c r="C82" s="6" t="s">
        <v>713</v>
      </c>
      <c r="D82" s="6">
        <v>1</v>
      </c>
      <c r="E82" s="6" t="s">
        <v>996</v>
      </c>
      <c r="F82" s="6" t="s">
        <v>1018</v>
      </c>
      <c r="G82" s="6" t="s">
        <v>1149</v>
      </c>
      <c r="H82" s="13">
        <f t="shared" si="1"/>
        <v>240</v>
      </c>
      <c r="I82" s="6" t="s">
        <v>1150</v>
      </c>
    </row>
    <row r="83" spans="1:9" x14ac:dyDescent="0.3">
      <c r="A83" s="6" t="s">
        <v>1151</v>
      </c>
      <c r="B83" s="6" t="s">
        <v>116</v>
      </c>
      <c r="C83" s="6" t="s">
        <v>713</v>
      </c>
      <c r="D83" s="6">
        <v>1</v>
      </c>
      <c r="E83" s="6" t="s">
        <v>996</v>
      </c>
      <c r="F83" s="6" t="s">
        <v>1018</v>
      </c>
      <c r="G83" s="6" t="s">
        <v>1149</v>
      </c>
      <c r="H83" s="13">
        <f t="shared" si="1"/>
        <v>233.75</v>
      </c>
      <c r="I83" s="6" t="s">
        <v>1152</v>
      </c>
    </row>
    <row r="84" spans="1:9" x14ac:dyDescent="0.3">
      <c r="A84" s="6" t="s">
        <v>1153</v>
      </c>
      <c r="B84" s="6" t="s">
        <v>120</v>
      </c>
      <c r="C84" s="6" t="s">
        <v>315</v>
      </c>
      <c r="D84" s="6">
        <v>1</v>
      </c>
      <c r="E84" s="6" t="s">
        <v>1018</v>
      </c>
      <c r="F84" s="6" t="s">
        <v>987</v>
      </c>
      <c r="G84" s="6" t="s">
        <v>1154</v>
      </c>
      <c r="H84" s="13">
        <f t="shared" si="1"/>
        <v>150</v>
      </c>
      <c r="I84" s="6" t="s">
        <v>1065</v>
      </c>
    </row>
    <row r="85" spans="1:9" x14ac:dyDescent="0.3">
      <c r="A85" s="6" t="s">
        <v>1155</v>
      </c>
      <c r="B85" s="6" t="s">
        <v>121</v>
      </c>
      <c r="C85" s="6" t="s">
        <v>204</v>
      </c>
      <c r="D85" s="6">
        <v>1</v>
      </c>
      <c r="E85" s="6" t="s">
        <v>995</v>
      </c>
      <c r="F85" s="6" t="s">
        <v>996</v>
      </c>
      <c r="G85" s="6" t="s">
        <v>1016</v>
      </c>
      <c r="H85" s="13">
        <f t="shared" si="1"/>
        <v>233.75</v>
      </c>
      <c r="I85" s="6" t="s">
        <v>1152</v>
      </c>
    </row>
    <row r="86" spans="1:9" x14ac:dyDescent="0.3">
      <c r="A86" s="6" t="s">
        <v>1156</v>
      </c>
      <c r="B86" s="6" t="s">
        <v>121</v>
      </c>
      <c r="C86" s="6" t="s">
        <v>204</v>
      </c>
      <c r="D86" s="6">
        <v>1</v>
      </c>
      <c r="E86" s="6" t="s">
        <v>995</v>
      </c>
      <c r="F86" s="6" t="s">
        <v>996</v>
      </c>
      <c r="G86" s="6" t="s">
        <v>1016</v>
      </c>
      <c r="H86" s="13">
        <f t="shared" si="1"/>
        <v>233.75</v>
      </c>
      <c r="I86" s="6" t="s">
        <v>1152</v>
      </c>
    </row>
    <row r="87" spans="1:9" x14ac:dyDescent="0.3">
      <c r="A87" s="6" t="s">
        <v>3090</v>
      </c>
      <c r="B87" s="6" t="s">
        <v>121</v>
      </c>
      <c r="C87" s="6" t="s">
        <v>469</v>
      </c>
      <c r="D87" s="6">
        <v>1</v>
      </c>
      <c r="E87" s="6" t="s">
        <v>995</v>
      </c>
      <c r="F87" s="6" t="s">
        <v>996</v>
      </c>
      <c r="G87" s="6">
        <v>8.0000000000000002E-3</v>
      </c>
      <c r="H87" s="13">
        <f t="shared" si="1"/>
        <v>233.75</v>
      </c>
      <c r="I87" s="6" t="s">
        <v>1152</v>
      </c>
    </row>
    <row r="88" spans="1:9" x14ac:dyDescent="0.3">
      <c r="A88" s="6" t="s">
        <v>1157</v>
      </c>
      <c r="B88" s="6" t="s">
        <v>123</v>
      </c>
      <c r="C88" s="6" t="s">
        <v>661</v>
      </c>
      <c r="D88" s="6">
        <v>1</v>
      </c>
      <c r="E88" s="6" t="s">
        <v>1000</v>
      </c>
      <c r="F88" s="6" t="s">
        <v>1018</v>
      </c>
      <c r="G88" s="6" t="s">
        <v>1158</v>
      </c>
      <c r="H88" s="13">
        <f t="shared" si="1"/>
        <v>148.75</v>
      </c>
      <c r="I88" s="6" t="s">
        <v>1159</v>
      </c>
    </row>
    <row r="89" spans="1:9" x14ac:dyDescent="0.3">
      <c r="A89" s="6" t="s">
        <v>1160</v>
      </c>
      <c r="B89" s="6" t="s">
        <v>123</v>
      </c>
      <c r="C89" s="6" t="s">
        <v>675</v>
      </c>
      <c r="D89" s="6">
        <v>1</v>
      </c>
      <c r="E89" s="6" t="s">
        <v>991</v>
      </c>
      <c r="F89" s="6" t="s">
        <v>980</v>
      </c>
      <c r="G89" s="6" t="s">
        <v>1161</v>
      </c>
      <c r="H89" s="13">
        <f t="shared" si="1"/>
        <v>148.75</v>
      </c>
      <c r="I89" s="6" t="s">
        <v>1159</v>
      </c>
    </row>
    <row r="90" spans="1:9" x14ac:dyDescent="0.3">
      <c r="A90" s="6" t="s">
        <v>1162</v>
      </c>
      <c r="B90" s="6" t="s">
        <v>127</v>
      </c>
      <c r="C90" s="6" t="s">
        <v>382</v>
      </c>
      <c r="D90" s="6">
        <v>1</v>
      </c>
      <c r="E90" s="6" t="s">
        <v>995</v>
      </c>
      <c r="F90" s="6" t="s">
        <v>1000</v>
      </c>
      <c r="G90" s="6" t="s">
        <v>1163</v>
      </c>
      <c r="H90" s="13">
        <f t="shared" si="1"/>
        <v>712.5</v>
      </c>
      <c r="I90" s="6" t="s">
        <v>1164</v>
      </c>
    </row>
    <row r="91" spans="1:9" x14ac:dyDescent="0.3">
      <c r="A91" s="6" t="s">
        <v>3130</v>
      </c>
      <c r="B91" s="6" t="s">
        <v>127</v>
      </c>
      <c r="C91" s="6" t="s">
        <v>708</v>
      </c>
      <c r="D91" s="6">
        <v>1</v>
      </c>
      <c r="E91" s="6">
        <v>1E-3</v>
      </c>
      <c r="F91" s="6">
        <v>3.0000000000000001E-3</v>
      </c>
      <c r="G91" s="6">
        <v>0.77700000000000002</v>
      </c>
      <c r="H91" s="13">
        <f t="shared" si="1"/>
        <v>712.5</v>
      </c>
      <c r="I91" s="6">
        <v>570</v>
      </c>
    </row>
    <row r="92" spans="1:9" x14ac:dyDescent="0.3">
      <c r="A92" s="6" t="s">
        <v>1165</v>
      </c>
      <c r="B92" s="6" t="s">
        <v>125</v>
      </c>
      <c r="C92" s="6" t="s">
        <v>430</v>
      </c>
      <c r="D92" s="6">
        <v>1</v>
      </c>
      <c r="E92" s="6" t="s">
        <v>1166</v>
      </c>
      <c r="F92" s="6" t="s">
        <v>1015</v>
      </c>
      <c r="G92" s="6" t="s">
        <v>1122</v>
      </c>
      <c r="H92" s="13">
        <f t="shared" si="1"/>
        <v>175</v>
      </c>
      <c r="I92" s="6" t="s">
        <v>1020</v>
      </c>
    </row>
    <row r="93" spans="1:9" x14ac:dyDescent="0.3">
      <c r="A93" s="6" t="s">
        <v>1167</v>
      </c>
      <c r="B93" s="6" t="s">
        <v>125</v>
      </c>
      <c r="C93" s="6" t="s">
        <v>483</v>
      </c>
      <c r="D93" s="6">
        <v>1</v>
      </c>
      <c r="E93" s="6" t="s">
        <v>1000</v>
      </c>
      <c r="F93" s="6" t="s">
        <v>1015</v>
      </c>
      <c r="G93" s="6" t="s">
        <v>1127</v>
      </c>
      <c r="H93" s="13">
        <f t="shared" si="1"/>
        <v>175</v>
      </c>
      <c r="I93" s="6" t="s">
        <v>1020</v>
      </c>
    </row>
    <row r="94" spans="1:9" x14ac:dyDescent="0.3">
      <c r="A94" s="6" t="s">
        <v>3091</v>
      </c>
      <c r="B94" s="6" t="s">
        <v>125</v>
      </c>
      <c r="C94" s="6" t="s">
        <v>594</v>
      </c>
      <c r="D94" s="6">
        <v>1</v>
      </c>
      <c r="E94" s="6">
        <v>3.0000000000000001E-3</v>
      </c>
      <c r="F94" s="6">
        <v>2E-3</v>
      </c>
      <c r="G94" s="6">
        <v>0.19500000000000001</v>
      </c>
      <c r="H94" s="13">
        <f t="shared" si="1"/>
        <v>1052.5</v>
      </c>
      <c r="I94" s="6">
        <v>842</v>
      </c>
    </row>
    <row r="95" spans="1:9" x14ac:dyDescent="0.3">
      <c r="A95" s="6" t="s">
        <v>1168</v>
      </c>
      <c r="B95" s="6" t="s">
        <v>129</v>
      </c>
      <c r="C95" s="6" t="s">
        <v>340</v>
      </c>
      <c r="D95" s="6">
        <v>1</v>
      </c>
      <c r="E95" s="6" t="s">
        <v>1169</v>
      </c>
      <c r="F95" s="6" t="s">
        <v>1170</v>
      </c>
      <c r="G95" s="6" t="s">
        <v>1051</v>
      </c>
      <c r="H95" s="13">
        <f t="shared" si="1"/>
        <v>131.25</v>
      </c>
      <c r="I95" s="6" t="s">
        <v>1031</v>
      </c>
    </row>
    <row r="96" spans="1:9" x14ac:dyDescent="0.3">
      <c r="A96" s="6" t="s">
        <v>1171</v>
      </c>
      <c r="B96" s="6" t="s">
        <v>131</v>
      </c>
      <c r="C96" s="6" t="s">
        <v>131</v>
      </c>
      <c r="D96" s="13">
        <v>0</v>
      </c>
      <c r="E96" s="6" t="s">
        <v>996</v>
      </c>
      <c r="F96" s="6" t="s">
        <v>1000</v>
      </c>
      <c r="G96" s="6" t="s">
        <v>995</v>
      </c>
      <c r="H96" s="13">
        <f t="shared" si="1"/>
        <v>170</v>
      </c>
      <c r="I96" s="6" t="s">
        <v>1120</v>
      </c>
    </row>
    <row r="97" spans="1:9" x14ac:dyDescent="0.3">
      <c r="A97" s="6" t="s">
        <v>1172</v>
      </c>
      <c r="B97" s="6" t="s">
        <v>135</v>
      </c>
      <c r="C97" s="6" t="s">
        <v>470</v>
      </c>
      <c r="D97" s="6">
        <v>1</v>
      </c>
      <c r="E97" s="6" t="s">
        <v>1107</v>
      </c>
      <c r="F97" s="6" t="s">
        <v>1173</v>
      </c>
      <c r="G97" s="6" t="s">
        <v>991</v>
      </c>
      <c r="H97" s="13">
        <f t="shared" si="1"/>
        <v>136.25</v>
      </c>
      <c r="I97" s="6" t="s">
        <v>1028</v>
      </c>
    </row>
    <row r="98" spans="1:9" x14ac:dyDescent="0.3">
      <c r="A98" s="6" t="s">
        <v>1174</v>
      </c>
      <c r="B98" s="6" t="s">
        <v>135</v>
      </c>
      <c r="C98" s="6" t="s">
        <v>470</v>
      </c>
      <c r="D98" s="6">
        <v>1</v>
      </c>
      <c r="E98" s="6" t="s">
        <v>1080</v>
      </c>
      <c r="F98" s="6" t="s">
        <v>1112</v>
      </c>
      <c r="G98" s="6" t="s">
        <v>1018</v>
      </c>
      <c r="H98" s="13">
        <f t="shared" si="1"/>
        <v>136.25</v>
      </c>
      <c r="I98" s="6" t="s">
        <v>1028</v>
      </c>
    </row>
    <row r="99" spans="1:9" x14ac:dyDescent="0.3">
      <c r="A99" s="6" t="s">
        <v>1175</v>
      </c>
      <c r="B99" s="6" t="s">
        <v>139</v>
      </c>
      <c r="C99" s="6" t="s">
        <v>194</v>
      </c>
      <c r="D99" s="6">
        <v>1</v>
      </c>
      <c r="E99" s="6" t="s">
        <v>1030</v>
      </c>
      <c r="F99" s="6" t="s">
        <v>1176</v>
      </c>
      <c r="G99" s="6" t="s">
        <v>987</v>
      </c>
      <c r="H99" s="13">
        <f t="shared" si="1"/>
        <v>102.5</v>
      </c>
      <c r="I99" s="6" t="s">
        <v>1044</v>
      </c>
    </row>
    <row r="100" spans="1:9" x14ac:dyDescent="0.3">
      <c r="A100" s="6" t="s">
        <v>1177</v>
      </c>
      <c r="B100" s="6" t="s">
        <v>139</v>
      </c>
      <c r="C100" s="6" t="s">
        <v>194</v>
      </c>
      <c r="D100" s="6">
        <v>1</v>
      </c>
      <c r="E100" s="6" t="s">
        <v>1030</v>
      </c>
      <c r="F100" s="6" t="s">
        <v>1176</v>
      </c>
      <c r="G100" s="6" t="s">
        <v>987</v>
      </c>
      <c r="H100" s="13">
        <f t="shared" si="1"/>
        <v>102.5</v>
      </c>
      <c r="I100" s="6" t="s">
        <v>1044</v>
      </c>
    </row>
    <row r="101" spans="1:9" x14ac:dyDescent="0.3">
      <c r="A101" s="6" t="s">
        <v>1178</v>
      </c>
      <c r="B101" s="6" t="s">
        <v>143</v>
      </c>
      <c r="C101" s="6" t="s">
        <v>342</v>
      </c>
      <c r="D101" s="6">
        <v>1</v>
      </c>
      <c r="E101" s="6" t="s">
        <v>1015</v>
      </c>
      <c r="F101" s="6" t="s">
        <v>1015</v>
      </c>
      <c r="G101" s="6" t="s">
        <v>1139</v>
      </c>
      <c r="H101" s="13">
        <f t="shared" si="1"/>
        <v>93.75</v>
      </c>
      <c r="I101" s="6" t="s">
        <v>1179</v>
      </c>
    </row>
    <row r="102" spans="1:9" x14ac:dyDescent="0.3">
      <c r="A102" s="6" t="s">
        <v>1180</v>
      </c>
      <c r="B102" s="6" t="s">
        <v>143</v>
      </c>
      <c r="C102" s="6" t="s">
        <v>342</v>
      </c>
      <c r="D102" s="6">
        <v>1</v>
      </c>
      <c r="E102" s="6" t="s">
        <v>1015</v>
      </c>
      <c r="F102" s="6" t="s">
        <v>1015</v>
      </c>
      <c r="G102" s="6" t="s">
        <v>1139</v>
      </c>
      <c r="H102" s="13">
        <f t="shared" si="1"/>
        <v>93.75</v>
      </c>
      <c r="I102" s="6" t="s">
        <v>1179</v>
      </c>
    </row>
    <row r="103" spans="1:9" x14ac:dyDescent="0.3">
      <c r="A103" s="13" t="s">
        <v>1181</v>
      </c>
      <c r="B103" s="13" t="s">
        <v>147</v>
      </c>
      <c r="C103" s="11" t="s">
        <v>786</v>
      </c>
      <c r="D103" s="13">
        <v>1</v>
      </c>
      <c r="E103" s="13">
        <f>0.018/2</f>
        <v>8.9999999999999993E-3</v>
      </c>
      <c r="F103" s="13">
        <f>0.081/2</f>
        <v>4.0500000000000001E-2</v>
      </c>
      <c r="G103" s="13">
        <f>0.009/2</f>
        <v>4.4999999999999997E-3</v>
      </c>
      <c r="H103" s="13">
        <f t="shared" si="1"/>
        <v>222.5</v>
      </c>
      <c r="I103" s="13" t="s">
        <v>989</v>
      </c>
    </row>
    <row r="104" spans="1:9" x14ac:dyDescent="0.3">
      <c r="A104" s="13" t="s">
        <v>1182</v>
      </c>
      <c r="B104" s="11" t="s">
        <v>786</v>
      </c>
      <c r="C104" s="13" t="s">
        <v>286</v>
      </c>
      <c r="D104" s="13">
        <v>1</v>
      </c>
      <c r="E104" s="13">
        <f>0.018/2</f>
        <v>8.9999999999999993E-3</v>
      </c>
      <c r="F104" s="13">
        <f>0.081/2</f>
        <v>4.0500000000000001E-2</v>
      </c>
      <c r="G104" s="13">
        <f>0.009/2</f>
        <v>4.4999999999999997E-3</v>
      </c>
      <c r="H104" s="13">
        <f t="shared" si="1"/>
        <v>222.5</v>
      </c>
      <c r="I104" s="13" t="s">
        <v>989</v>
      </c>
    </row>
    <row r="105" spans="1:9" x14ac:dyDescent="0.3">
      <c r="A105" s="6" t="s">
        <v>1183</v>
      </c>
      <c r="B105" s="6" t="s">
        <v>149</v>
      </c>
      <c r="C105" s="6" t="s">
        <v>373</v>
      </c>
      <c r="D105" s="6">
        <v>1</v>
      </c>
      <c r="E105" s="6" t="s">
        <v>1184</v>
      </c>
      <c r="F105" s="6" t="s">
        <v>1185</v>
      </c>
      <c r="G105" s="6" t="s">
        <v>1011</v>
      </c>
      <c r="H105" s="13">
        <f t="shared" si="1"/>
        <v>222.5</v>
      </c>
      <c r="I105" s="6" t="s">
        <v>989</v>
      </c>
    </row>
    <row r="106" spans="1:9" x14ac:dyDescent="0.3">
      <c r="A106" s="6" t="s">
        <v>1186</v>
      </c>
      <c r="B106" s="6" t="s">
        <v>149</v>
      </c>
      <c r="C106" s="6" t="s">
        <v>754</v>
      </c>
      <c r="D106" s="6">
        <v>1</v>
      </c>
      <c r="E106" s="6" t="s">
        <v>985</v>
      </c>
      <c r="F106" s="6" t="s">
        <v>1033</v>
      </c>
      <c r="G106" s="6" t="s">
        <v>980</v>
      </c>
      <c r="H106" s="13">
        <f t="shared" si="1"/>
        <v>222.5</v>
      </c>
      <c r="I106" s="6" t="s">
        <v>989</v>
      </c>
    </row>
    <row r="107" spans="1:9" x14ac:dyDescent="0.3">
      <c r="A107" s="6" t="s">
        <v>1187</v>
      </c>
      <c r="B107" s="6" t="s">
        <v>151</v>
      </c>
      <c r="C107" s="6" t="s">
        <v>169</v>
      </c>
      <c r="D107" s="6">
        <v>1</v>
      </c>
      <c r="E107" s="6" t="s">
        <v>1076</v>
      </c>
      <c r="F107" s="6" t="s">
        <v>1188</v>
      </c>
      <c r="G107" s="6" t="s">
        <v>980</v>
      </c>
      <c r="H107" s="13">
        <f t="shared" si="1"/>
        <v>102.5</v>
      </c>
      <c r="I107" s="6" t="s">
        <v>1044</v>
      </c>
    </row>
    <row r="108" spans="1:9" x14ac:dyDescent="0.3">
      <c r="A108" s="6" t="s">
        <v>1189</v>
      </c>
      <c r="B108" s="6" t="s">
        <v>151</v>
      </c>
      <c r="C108" s="6" t="s">
        <v>169</v>
      </c>
      <c r="D108" s="6">
        <v>1</v>
      </c>
      <c r="E108" s="6" t="s">
        <v>1076</v>
      </c>
      <c r="F108" s="6" t="s">
        <v>1188</v>
      </c>
      <c r="G108" s="6" t="s">
        <v>980</v>
      </c>
      <c r="H108" s="13">
        <f t="shared" si="1"/>
        <v>102.5</v>
      </c>
      <c r="I108" s="6" t="s">
        <v>1044</v>
      </c>
    </row>
    <row r="109" spans="1:9" x14ac:dyDescent="0.3">
      <c r="A109" s="6" t="s">
        <v>1190</v>
      </c>
      <c r="B109" s="6" t="s">
        <v>153</v>
      </c>
      <c r="C109" s="6" t="s">
        <v>177</v>
      </c>
      <c r="D109" s="6">
        <v>1</v>
      </c>
      <c r="E109" s="6" t="s">
        <v>995</v>
      </c>
      <c r="F109" s="13">
        <v>1E-3</v>
      </c>
      <c r="G109" s="6" t="s">
        <v>1000</v>
      </c>
      <c r="H109" s="13">
        <f t="shared" si="1"/>
        <v>887.5</v>
      </c>
      <c r="I109" s="6" t="s">
        <v>1191</v>
      </c>
    </row>
    <row r="110" spans="1:9" x14ac:dyDescent="0.3">
      <c r="A110" s="6" t="s">
        <v>1192</v>
      </c>
      <c r="B110" s="6" t="s">
        <v>151</v>
      </c>
      <c r="C110" s="6" t="s">
        <v>371</v>
      </c>
      <c r="D110" s="6">
        <v>1</v>
      </c>
      <c r="E110" s="6" t="s">
        <v>1076</v>
      </c>
      <c r="F110" s="13" t="s">
        <v>1047</v>
      </c>
      <c r="G110" s="6" t="s">
        <v>1015</v>
      </c>
      <c r="H110" s="13">
        <f t="shared" si="1"/>
        <v>86.25</v>
      </c>
      <c r="I110" s="6" t="s">
        <v>1193</v>
      </c>
    </row>
    <row r="111" spans="1:9" x14ac:dyDescent="0.3">
      <c r="A111" s="6" t="s">
        <v>1194</v>
      </c>
      <c r="B111" s="6" t="s">
        <v>151</v>
      </c>
      <c r="C111" s="6" t="s">
        <v>371</v>
      </c>
      <c r="D111" s="6">
        <v>1</v>
      </c>
      <c r="E111" s="6" t="s">
        <v>1076</v>
      </c>
      <c r="F111" s="6" t="s">
        <v>1139</v>
      </c>
      <c r="G111" s="6" t="s">
        <v>1015</v>
      </c>
      <c r="H111" s="13">
        <f t="shared" si="1"/>
        <v>87.5</v>
      </c>
      <c r="I111" s="6" t="s">
        <v>1195</v>
      </c>
    </row>
    <row r="112" spans="1:9" x14ac:dyDescent="0.3">
      <c r="A112" s="6" t="s">
        <v>1196</v>
      </c>
      <c r="B112" s="6" t="s">
        <v>153</v>
      </c>
      <c r="C112" s="6" t="s">
        <v>445</v>
      </c>
      <c r="D112" s="6">
        <v>1</v>
      </c>
      <c r="E112" s="6" t="s">
        <v>1000</v>
      </c>
      <c r="F112" s="6" t="s">
        <v>1027</v>
      </c>
      <c r="G112" s="6" t="s">
        <v>1197</v>
      </c>
      <c r="H112" s="13">
        <f t="shared" si="1"/>
        <v>887.5</v>
      </c>
      <c r="I112" s="6" t="s">
        <v>1191</v>
      </c>
    </row>
    <row r="113" spans="1:9" x14ac:dyDescent="0.3">
      <c r="A113" s="6" t="s">
        <v>1198</v>
      </c>
      <c r="B113" s="6" t="s">
        <v>153</v>
      </c>
      <c r="C113" s="6" t="s">
        <v>472</v>
      </c>
      <c r="D113" s="6">
        <v>1</v>
      </c>
      <c r="E113" s="6" t="s">
        <v>1000</v>
      </c>
      <c r="F113" s="6" t="s">
        <v>1070</v>
      </c>
      <c r="G113" s="6" t="s">
        <v>1102</v>
      </c>
      <c r="H113" s="13">
        <f t="shared" si="1"/>
        <v>887.5</v>
      </c>
      <c r="I113" s="6" t="s">
        <v>1191</v>
      </c>
    </row>
    <row r="114" spans="1:9" x14ac:dyDescent="0.3">
      <c r="A114" s="6" t="s">
        <v>1199</v>
      </c>
      <c r="B114" s="6" t="s">
        <v>153</v>
      </c>
      <c r="C114" s="6" t="s">
        <v>566</v>
      </c>
      <c r="D114" s="6">
        <v>1</v>
      </c>
      <c r="E114" s="6" t="s">
        <v>991</v>
      </c>
      <c r="F114" s="6" t="s">
        <v>978</v>
      </c>
      <c r="G114" s="6" t="s">
        <v>1200</v>
      </c>
      <c r="H114" s="13">
        <f t="shared" si="1"/>
        <v>887.5</v>
      </c>
      <c r="I114" s="6" t="s">
        <v>1191</v>
      </c>
    </row>
    <row r="115" spans="1:9" x14ac:dyDescent="0.3">
      <c r="A115" s="6" t="s">
        <v>1201</v>
      </c>
      <c r="B115" s="6" t="s">
        <v>157</v>
      </c>
      <c r="C115" s="6" t="s">
        <v>688</v>
      </c>
      <c r="D115" s="6">
        <v>1</v>
      </c>
      <c r="E115" s="6" t="s">
        <v>1051</v>
      </c>
      <c r="F115" s="6" t="s">
        <v>1116</v>
      </c>
      <c r="G115" s="6" t="s">
        <v>1202</v>
      </c>
      <c r="H115" s="13">
        <f t="shared" si="1"/>
        <v>180</v>
      </c>
      <c r="I115" s="6" t="s">
        <v>1203</v>
      </c>
    </row>
    <row r="116" spans="1:9" x14ac:dyDescent="0.3">
      <c r="A116" s="6" t="s">
        <v>1204</v>
      </c>
      <c r="B116" s="6" t="s">
        <v>161</v>
      </c>
      <c r="C116" s="6" t="s">
        <v>667</v>
      </c>
      <c r="D116" s="6">
        <v>1</v>
      </c>
      <c r="E116" s="6" t="s">
        <v>991</v>
      </c>
      <c r="F116" s="6" t="s">
        <v>980</v>
      </c>
      <c r="G116" s="6" t="s">
        <v>996</v>
      </c>
      <c r="H116" s="13">
        <f t="shared" si="1"/>
        <v>78.75</v>
      </c>
      <c r="I116" s="6" t="s">
        <v>1205</v>
      </c>
    </row>
    <row r="117" spans="1:9" x14ac:dyDescent="0.3">
      <c r="A117" s="6" t="s">
        <v>1206</v>
      </c>
      <c r="B117" s="6" t="s">
        <v>161</v>
      </c>
      <c r="C117" s="6" t="s">
        <v>667</v>
      </c>
      <c r="D117" s="6">
        <v>1</v>
      </c>
      <c r="E117" s="6" t="s">
        <v>1000</v>
      </c>
      <c r="F117" s="6" t="s">
        <v>980</v>
      </c>
      <c r="G117" s="6" t="s">
        <v>996</v>
      </c>
      <c r="H117" s="13">
        <f t="shared" si="1"/>
        <v>123.75</v>
      </c>
      <c r="I117" s="6" t="s">
        <v>981</v>
      </c>
    </row>
    <row r="118" spans="1:9" x14ac:dyDescent="0.3">
      <c r="A118" s="6" t="s">
        <v>1207</v>
      </c>
      <c r="B118" s="6" t="s">
        <v>163</v>
      </c>
      <c r="C118" s="6" t="s">
        <v>251</v>
      </c>
      <c r="D118" s="6">
        <v>1</v>
      </c>
      <c r="E118" s="6" t="s">
        <v>1208</v>
      </c>
      <c r="F118" s="6" t="s">
        <v>1209</v>
      </c>
      <c r="G118" s="6" t="s">
        <v>1093</v>
      </c>
      <c r="H118" s="13">
        <f t="shared" si="1"/>
        <v>712.5</v>
      </c>
      <c r="I118" s="6" t="s">
        <v>1164</v>
      </c>
    </row>
    <row r="119" spans="1:9" x14ac:dyDescent="0.3">
      <c r="A119" s="6" t="s">
        <v>1210</v>
      </c>
      <c r="B119" s="6" t="s">
        <v>163</v>
      </c>
      <c r="C119" s="6" t="s">
        <v>251</v>
      </c>
      <c r="D119" s="6">
        <v>1</v>
      </c>
      <c r="E119" s="6" t="s">
        <v>1208</v>
      </c>
      <c r="F119" s="6" t="s">
        <v>1209</v>
      </c>
      <c r="G119" s="6" t="s">
        <v>1093</v>
      </c>
      <c r="H119" s="13">
        <f t="shared" si="1"/>
        <v>712.5</v>
      </c>
      <c r="I119" s="6" t="s">
        <v>1164</v>
      </c>
    </row>
    <row r="120" spans="1:9" x14ac:dyDescent="0.3">
      <c r="A120" s="6" t="s">
        <v>1211</v>
      </c>
      <c r="B120" s="6" t="s">
        <v>167</v>
      </c>
      <c r="C120" s="6" t="s">
        <v>309</v>
      </c>
      <c r="D120" s="6">
        <v>1</v>
      </c>
      <c r="E120" s="6" t="s">
        <v>1061</v>
      </c>
      <c r="F120" s="6" t="s">
        <v>997</v>
      </c>
      <c r="G120" s="6" t="s">
        <v>1107</v>
      </c>
      <c r="H120" s="13">
        <f t="shared" si="1"/>
        <v>222.5</v>
      </c>
      <c r="I120" s="6" t="s">
        <v>989</v>
      </c>
    </row>
    <row r="121" spans="1:9" x14ac:dyDescent="0.3">
      <c r="A121" s="6" t="s">
        <v>1212</v>
      </c>
      <c r="B121" s="6" t="s">
        <v>167</v>
      </c>
      <c r="C121" s="6" t="s">
        <v>519</v>
      </c>
      <c r="D121" s="6">
        <v>1</v>
      </c>
      <c r="E121" s="6" t="s">
        <v>1018</v>
      </c>
      <c r="F121" s="6" t="s">
        <v>1051</v>
      </c>
      <c r="G121" s="6" t="s">
        <v>996</v>
      </c>
      <c r="H121" s="13">
        <f t="shared" si="1"/>
        <v>250</v>
      </c>
      <c r="I121" s="6" t="s">
        <v>29</v>
      </c>
    </row>
    <row r="122" spans="1:9" x14ac:dyDescent="0.3">
      <c r="A122" s="6" t="s">
        <v>1213</v>
      </c>
      <c r="B122" s="6" t="s">
        <v>169</v>
      </c>
      <c r="C122" s="6" t="s">
        <v>470</v>
      </c>
      <c r="D122" s="6">
        <v>1</v>
      </c>
      <c r="E122" s="6" t="s">
        <v>1030</v>
      </c>
      <c r="F122" s="6" t="s">
        <v>1214</v>
      </c>
      <c r="G122" s="6" t="s">
        <v>987</v>
      </c>
      <c r="H122" s="13">
        <f t="shared" si="1"/>
        <v>136.25</v>
      </c>
      <c r="I122" s="6" t="s">
        <v>1028</v>
      </c>
    </row>
    <row r="123" spans="1:9" x14ac:dyDescent="0.3">
      <c r="A123" s="6" t="s">
        <v>1215</v>
      </c>
      <c r="B123" s="6" t="s">
        <v>169</v>
      </c>
      <c r="C123" s="6" t="s">
        <v>470</v>
      </c>
      <c r="D123" s="6">
        <v>1</v>
      </c>
      <c r="E123" s="6" t="s">
        <v>978</v>
      </c>
      <c r="F123" s="6" t="s">
        <v>1087</v>
      </c>
      <c r="G123" s="6" t="s">
        <v>987</v>
      </c>
      <c r="H123" s="13">
        <f t="shared" si="1"/>
        <v>136.25</v>
      </c>
      <c r="I123" s="6" t="s">
        <v>1028</v>
      </c>
    </row>
    <row r="124" spans="1:9" x14ac:dyDescent="0.3">
      <c r="A124" s="6" t="s">
        <v>1216</v>
      </c>
      <c r="B124" s="6" t="s">
        <v>169</v>
      </c>
      <c r="C124" s="6" t="s">
        <v>528</v>
      </c>
      <c r="D124" s="6">
        <v>1</v>
      </c>
      <c r="E124" s="6" t="s">
        <v>987</v>
      </c>
      <c r="F124" s="6" t="s">
        <v>1076</v>
      </c>
      <c r="G124" s="6" t="s">
        <v>1000</v>
      </c>
      <c r="H124" s="13">
        <f t="shared" si="1"/>
        <v>98.75</v>
      </c>
      <c r="I124" s="6" t="s">
        <v>1217</v>
      </c>
    </row>
    <row r="125" spans="1:9" x14ac:dyDescent="0.3">
      <c r="A125" s="6" t="s">
        <v>1218</v>
      </c>
      <c r="B125" s="6" t="s">
        <v>169</v>
      </c>
      <c r="C125" s="6" t="s">
        <v>528</v>
      </c>
      <c r="D125" s="6">
        <v>1</v>
      </c>
      <c r="E125" s="6" t="s">
        <v>987</v>
      </c>
      <c r="F125" s="6" t="s">
        <v>1076</v>
      </c>
      <c r="G125" s="6" t="s">
        <v>1000</v>
      </c>
      <c r="H125" s="13">
        <f t="shared" si="1"/>
        <v>98.75</v>
      </c>
      <c r="I125" s="6" t="s">
        <v>1217</v>
      </c>
    </row>
    <row r="126" spans="1:9" x14ac:dyDescent="0.3">
      <c r="A126" s="6" t="s">
        <v>1219</v>
      </c>
      <c r="B126" s="6" t="s">
        <v>173</v>
      </c>
      <c r="C126" s="6" t="s">
        <v>181</v>
      </c>
      <c r="D126" s="6">
        <v>1</v>
      </c>
      <c r="E126" s="6" t="s">
        <v>991</v>
      </c>
      <c r="F126" s="6" t="s">
        <v>1220</v>
      </c>
      <c r="G126" s="6" t="s">
        <v>1221</v>
      </c>
      <c r="H126" s="13">
        <f t="shared" si="1"/>
        <v>542.5</v>
      </c>
      <c r="I126" s="6" t="s">
        <v>1013</v>
      </c>
    </row>
    <row r="127" spans="1:9" x14ac:dyDescent="0.3">
      <c r="A127" s="6" t="s">
        <v>1222</v>
      </c>
      <c r="B127" s="6" t="s">
        <v>173</v>
      </c>
      <c r="C127" s="6" t="s">
        <v>249</v>
      </c>
      <c r="D127" s="6">
        <v>1</v>
      </c>
      <c r="E127" s="6" t="s">
        <v>1000</v>
      </c>
      <c r="F127" s="6" t="s">
        <v>1070</v>
      </c>
      <c r="G127" s="6" t="s">
        <v>1019</v>
      </c>
      <c r="H127" s="13">
        <f t="shared" si="1"/>
        <v>925</v>
      </c>
      <c r="I127" s="6" t="s">
        <v>1223</v>
      </c>
    </row>
    <row r="128" spans="1:9" x14ac:dyDescent="0.3">
      <c r="A128" s="6" t="s">
        <v>1224</v>
      </c>
      <c r="B128" s="6" t="s">
        <v>171</v>
      </c>
      <c r="C128" s="6" t="s">
        <v>304</v>
      </c>
      <c r="D128" s="6">
        <v>1</v>
      </c>
      <c r="E128" s="6" t="s">
        <v>980</v>
      </c>
      <c r="F128" s="6" t="s">
        <v>1092</v>
      </c>
      <c r="G128" s="6" t="s">
        <v>1225</v>
      </c>
      <c r="H128" s="13">
        <f t="shared" si="1"/>
        <v>285</v>
      </c>
      <c r="I128" s="6" t="s">
        <v>1226</v>
      </c>
    </row>
    <row r="129" spans="1:9" x14ac:dyDescent="0.3">
      <c r="A129" s="6" t="s">
        <v>1227</v>
      </c>
      <c r="B129" s="6" t="s">
        <v>175</v>
      </c>
      <c r="C129" s="6" t="s">
        <v>286</v>
      </c>
      <c r="D129" s="6">
        <v>1</v>
      </c>
      <c r="E129" s="6" t="s">
        <v>1061</v>
      </c>
      <c r="F129" s="6" t="s">
        <v>1076</v>
      </c>
      <c r="G129" s="6" t="s">
        <v>1228</v>
      </c>
      <c r="H129" s="13">
        <f t="shared" si="1"/>
        <v>143.75</v>
      </c>
      <c r="I129" s="6" t="s">
        <v>1229</v>
      </c>
    </row>
    <row r="130" spans="1:9" x14ac:dyDescent="0.3">
      <c r="A130" s="6" t="s">
        <v>1230</v>
      </c>
      <c r="B130" s="6" t="s">
        <v>179</v>
      </c>
      <c r="C130" s="6" t="s">
        <v>212</v>
      </c>
      <c r="D130" s="6">
        <v>1</v>
      </c>
      <c r="E130" s="6" t="s">
        <v>1000</v>
      </c>
      <c r="F130" s="6" t="s">
        <v>1016</v>
      </c>
      <c r="G130" s="6" t="s">
        <v>1231</v>
      </c>
      <c r="H130" s="13">
        <f t="shared" si="1"/>
        <v>243.75</v>
      </c>
      <c r="I130" s="6" t="s">
        <v>1145</v>
      </c>
    </row>
    <row r="131" spans="1:9" x14ac:dyDescent="0.3">
      <c r="A131" s="6" t="s">
        <v>1232</v>
      </c>
      <c r="B131" s="6" t="s">
        <v>179</v>
      </c>
      <c r="C131" s="6" t="s">
        <v>411</v>
      </c>
      <c r="D131" s="6">
        <v>1</v>
      </c>
      <c r="E131" s="6" t="s">
        <v>980</v>
      </c>
      <c r="F131" s="6" t="s">
        <v>1004</v>
      </c>
      <c r="G131" s="6" t="s">
        <v>1233</v>
      </c>
      <c r="H131" s="13">
        <f t="shared" ref="H131:H194" si="2">I131*1.25</f>
        <v>155</v>
      </c>
      <c r="I131" s="6" t="s">
        <v>1234</v>
      </c>
    </row>
    <row r="132" spans="1:9" x14ac:dyDescent="0.3">
      <c r="A132" s="6" t="s">
        <v>1235</v>
      </c>
      <c r="B132" s="6" t="s">
        <v>183</v>
      </c>
      <c r="C132" s="6" t="s">
        <v>666</v>
      </c>
      <c r="D132" s="6">
        <v>1</v>
      </c>
      <c r="E132" s="6" t="s">
        <v>1000</v>
      </c>
      <c r="F132" s="6" t="s">
        <v>987</v>
      </c>
      <c r="G132" s="6" t="s">
        <v>1015</v>
      </c>
      <c r="H132" s="13">
        <f t="shared" si="2"/>
        <v>100</v>
      </c>
      <c r="I132" s="6" t="s">
        <v>1236</v>
      </c>
    </row>
    <row r="133" spans="1:9" x14ac:dyDescent="0.3">
      <c r="A133" s="6" t="s">
        <v>1237</v>
      </c>
      <c r="B133" s="6" t="s">
        <v>183</v>
      </c>
      <c r="C133" s="6" t="s">
        <v>803</v>
      </c>
      <c r="D133" s="6">
        <v>1</v>
      </c>
      <c r="E133" s="6" t="s">
        <v>991</v>
      </c>
      <c r="F133" s="6" t="s">
        <v>1015</v>
      </c>
      <c r="G133" s="6" t="s">
        <v>1127</v>
      </c>
      <c r="H133" s="13">
        <f t="shared" si="2"/>
        <v>150</v>
      </c>
      <c r="I133" s="6" t="s">
        <v>1065</v>
      </c>
    </row>
    <row r="134" spans="1:9" x14ac:dyDescent="0.3">
      <c r="A134" s="6" t="s">
        <v>1238</v>
      </c>
      <c r="B134" s="6" t="s">
        <v>188</v>
      </c>
      <c r="C134" s="6" t="s">
        <v>98</v>
      </c>
      <c r="D134" s="6">
        <v>1</v>
      </c>
      <c r="E134" s="6" t="s">
        <v>1089</v>
      </c>
      <c r="F134" s="6" t="s">
        <v>1239</v>
      </c>
      <c r="G134" s="6" t="s">
        <v>1070</v>
      </c>
      <c r="H134" s="13">
        <f t="shared" si="2"/>
        <v>131.25</v>
      </c>
      <c r="I134" s="6" t="s">
        <v>1031</v>
      </c>
    </row>
    <row r="135" spans="1:9" x14ac:dyDescent="0.3">
      <c r="A135" s="6" t="s">
        <v>1240</v>
      </c>
      <c r="B135" s="6" t="s">
        <v>188</v>
      </c>
      <c r="C135" s="6" t="s">
        <v>345</v>
      </c>
      <c r="D135" s="6">
        <v>1</v>
      </c>
      <c r="E135" s="6" t="s">
        <v>1051</v>
      </c>
      <c r="F135" s="6" t="s">
        <v>1059</v>
      </c>
      <c r="G135" s="6" t="s">
        <v>980</v>
      </c>
      <c r="H135" s="13">
        <f t="shared" si="2"/>
        <v>222.5</v>
      </c>
      <c r="I135" s="6" t="s">
        <v>989</v>
      </c>
    </row>
    <row r="136" spans="1:9" x14ac:dyDescent="0.3">
      <c r="A136" s="6" t="s">
        <v>1241</v>
      </c>
      <c r="B136" s="6" t="s">
        <v>188</v>
      </c>
      <c r="C136" s="6" t="s">
        <v>476</v>
      </c>
      <c r="D136" s="6">
        <v>1</v>
      </c>
      <c r="E136" s="6" t="s">
        <v>1016</v>
      </c>
      <c r="F136" s="6" t="s">
        <v>1188</v>
      </c>
      <c r="G136" s="6" t="s">
        <v>980</v>
      </c>
      <c r="H136" s="13">
        <f t="shared" si="2"/>
        <v>222.5</v>
      </c>
      <c r="I136" s="6" t="s">
        <v>989</v>
      </c>
    </row>
    <row r="137" spans="1:9" x14ac:dyDescent="0.3">
      <c r="A137" s="6" t="s">
        <v>1242</v>
      </c>
      <c r="B137" s="6" t="s">
        <v>188</v>
      </c>
      <c r="C137" s="6" t="s">
        <v>763</v>
      </c>
      <c r="D137" s="6">
        <v>1</v>
      </c>
      <c r="E137" s="6" t="s">
        <v>1016</v>
      </c>
      <c r="F137" s="6" t="s">
        <v>1033</v>
      </c>
      <c r="G137" s="6" t="s">
        <v>980</v>
      </c>
      <c r="H137" s="13">
        <f t="shared" si="2"/>
        <v>222.5</v>
      </c>
      <c r="I137" s="6" t="s">
        <v>989</v>
      </c>
    </row>
    <row r="138" spans="1:9" x14ac:dyDescent="0.3">
      <c r="A138" s="6" t="s">
        <v>1243</v>
      </c>
      <c r="B138" s="6" t="s">
        <v>190</v>
      </c>
      <c r="C138" s="6" t="s">
        <v>194</v>
      </c>
      <c r="D138" s="6">
        <v>1</v>
      </c>
      <c r="E138" s="6" t="s">
        <v>988</v>
      </c>
      <c r="F138" s="6" t="s">
        <v>1095</v>
      </c>
      <c r="G138" s="6" t="s">
        <v>1061</v>
      </c>
      <c r="H138" s="13">
        <f t="shared" si="2"/>
        <v>86.25</v>
      </c>
      <c r="I138" s="6" t="s">
        <v>1193</v>
      </c>
    </row>
    <row r="139" spans="1:9" x14ac:dyDescent="0.3">
      <c r="A139" s="6" t="s">
        <v>1244</v>
      </c>
      <c r="B139" s="6" t="s">
        <v>190</v>
      </c>
      <c r="C139" s="6" t="s">
        <v>194</v>
      </c>
      <c r="D139" s="6">
        <v>1</v>
      </c>
      <c r="E139" s="6" t="s">
        <v>988</v>
      </c>
      <c r="F139" s="6" t="s">
        <v>1245</v>
      </c>
      <c r="G139" s="6" t="s">
        <v>1061</v>
      </c>
      <c r="H139" s="13">
        <f t="shared" si="2"/>
        <v>87.5</v>
      </c>
      <c r="I139" s="6" t="s">
        <v>1195</v>
      </c>
    </row>
    <row r="140" spans="1:9" x14ac:dyDescent="0.3">
      <c r="A140" s="6" t="s">
        <v>1246</v>
      </c>
      <c r="B140" s="6" t="s">
        <v>190</v>
      </c>
      <c r="C140" s="6" t="s">
        <v>371</v>
      </c>
      <c r="D140" s="6">
        <v>1</v>
      </c>
      <c r="E140" s="6" t="s">
        <v>1027</v>
      </c>
      <c r="F140" s="6" t="s">
        <v>1169</v>
      </c>
      <c r="G140" s="6" t="s">
        <v>1018</v>
      </c>
      <c r="H140" s="13">
        <f t="shared" si="2"/>
        <v>86.25</v>
      </c>
      <c r="I140" s="6" t="s">
        <v>1193</v>
      </c>
    </row>
    <row r="141" spans="1:9" x14ac:dyDescent="0.3">
      <c r="A141" s="6" t="s">
        <v>1247</v>
      </c>
      <c r="B141" s="6" t="s">
        <v>190</v>
      </c>
      <c r="C141" s="6" t="s">
        <v>371</v>
      </c>
      <c r="D141" s="6">
        <v>1</v>
      </c>
      <c r="E141" s="6" t="s">
        <v>1027</v>
      </c>
      <c r="F141" s="6" t="s">
        <v>1149</v>
      </c>
      <c r="G141" s="6" t="s">
        <v>1018</v>
      </c>
      <c r="H141" s="13">
        <f t="shared" si="2"/>
        <v>86.25</v>
      </c>
      <c r="I141" s="6" t="s">
        <v>1193</v>
      </c>
    </row>
    <row r="142" spans="1:9" x14ac:dyDescent="0.3">
      <c r="A142" s="6" t="s">
        <v>1248</v>
      </c>
      <c r="B142" s="6" t="s">
        <v>194</v>
      </c>
      <c r="C142" s="6" t="s">
        <v>288</v>
      </c>
      <c r="D142" s="6">
        <v>1</v>
      </c>
      <c r="E142" s="6" t="s">
        <v>996</v>
      </c>
      <c r="F142" s="6" t="s">
        <v>1018</v>
      </c>
      <c r="G142" s="6" t="s">
        <v>1249</v>
      </c>
      <c r="H142" s="13">
        <f t="shared" si="2"/>
        <v>165</v>
      </c>
      <c r="I142" s="6" t="s">
        <v>1250</v>
      </c>
    </row>
    <row r="143" spans="1:9" x14ac:dyDescent="0.3">
      <c r="A143" s="6" t="s">
        <v>1251</v>
      </c>
      <c r="B143" s="6" t="s">
        <v>194</v>
      </c>
      <c r="C143" s="6" t="s">
        <v>288</v>
      </c>
      <c r="D143" s="6">
        <v>1</v>
      </c>
      <c r="E143" s="6" t="s">
        <v>996</v>
      </c>
      <c r="F143" s="6" t="s">
        <v>1018</v>
      </c>
      <c r="G143" s="6" t="s">
        <v>1249</v>
      </c>
      <c r="H143" s="13">
        <f t="shared" si="2"/>
        <v>165</v>
      </c>
      <c r="I143" s="6" t="s">
        <v>1250</v>
      </c>
    </row>
    <row r="144" spans="1:9" x14ac:dyDescent="0.3">
      <c r="A144" s="6" t="s">
        <v>1252</v>
      </c>
      <c r="B144" s="6" t="s">
        <v>196</v>
      </c>
      <c r="C144" s="6" t="s">
        <v>445</v>
      </c>
      <c r="D144" s="6">
        <v>1</v>
      </c>
      <c r="E144" s="6" t="s">
        <v>996</v>
      </c>
      <c r="F144" s="6" t="s">
        <v>1061</v>
      </c>
      <c r="G144" s="6" t="s">
        <v>1056</v>
      </c>
      <c r="H144" s="13">
        <f t="shared" si="2"/>
        <v>887.5</v>
      </c>
      <c r="I144" s="6" t="s">
        <v>1191</v>
      </c>
    </row>
    <row r="145" spans="1:9" x14ac:dyDescent="0.3">
      <c r="A145" s="6" t="s">
        <v>1253</v>
      </c>
      <c r="B145" s="6" t="s">
        <v>196</v>
      </c>
      <c r="C145" s="6" t="s">
        <v>445</v>
      </c>
      <c r="D145" s="6">
        <v>1</v>
      </c>
      <c r="E145" s="6" t="s">
        <v>996</v>
      </c>
      <c r="F145" s="6" t="s">
        <v>1061</v>
      </c>
      <c r="G145" s="6" t="s">
        <v>1056</v>
      </c>
      <c r="H145" s="13">
        <f t="shared" si="2"/>
        <v>887.5</v>
      </c>
      <c r="I145" s="6" t="s">
        <v>1191</v>
      </c>
    </row>
    <row r="146" spans="1:9" x14ac:dyDescent="0.3">
      <c r="A146" s="6" t="s">
        <v>1254</v>
      </c>
      <c r="B146" s="6" t="s">
        <v>194</v>
      </c>
      <c r="C146" s="6" t="s">
        <v>499</v>
      </c>
      <c r="D146" s="6">
        <v>1</v>
      </c>
      <c r="E146" s="6" t="s">
        <v>1015</v>
      </c>
      <c r="F146" s="6" t="s">
        <v>1018</v>
      </c>
      <c r="G146" s="6" t="s">
        <v>1149</v>
      </c>
      <c r="H146" s="13">
        <f t="shared" si="2"/>
        <v>82.5</v>
      </c>
      <c r="I146" s="6" t="s">
        <v>1255</v>
      </c>
    </row>
    <row r="147" spans="1:9" x14ac:dyDescent="0.3">
      <c r="A147" s="6" t="s">
        <v>1256</v>
      </c>
      <c r="B147" s="6" t="s">
        <v>194</v>
      </c>
      <c r="C147" s="6" t="s">
        <v>499</v>
      </c>
      <c r="D147" s="6">
        <v>1</v>
      </c>
      <c r="E147" s="6" t="s">
        <v>1015</v>
      </c>
      <c r="F147" s="6" t="s">
        <v>1018</v>
      </c>
      <c r="G147" s="6" t="s">
        <v>1149</v>
      </c>
      <c r="H147" s="13">
        <f t="shared" si="2"/>
        <v>82.5</v>
      </c>
      <c r="I147" s="6" t="s">
        <v>1255</v>
      </c>
    </row>
    <row r="148" spans="1:9" x14ac:dyDescent="0.3">
      <c r="A148" s="6" t="s">
        <v>1257</v>
      </c>
      <c r="B148" s="6" t="s">
        <v>196</v>
      </c>
      <c r="C148" s="6" t="s">
        <v>510</v>
      </c>
      <c r="D148" s="6">
        <v>1</v>
      </c>
      <c r="E148" s="6" t="s">
        <v>991</v>
      </c>
      <c r="F148" s="6" t="s">
        <v>1030</v>
      </c>
      <c r="G148" s="6" t="s">
        <v>1258</v>
      </c>
      <c r="H148" s="13">
        <f t="shared" si="2"/>
        <v>887.5</v>
      </c>
      <c r="I148" s="6" t="s">
        <v>1191</v>
      </c>
    </row>
    <row r="149" spans="1:9" x14ac:dyDescent="0.3">
      <c r="A149" s="6" t="s">
        <v>1259</v>
      </c>
      <c r="B149" s="6" t="s">
        <v>194</v>
      </c>
      <c r="C149" s="6" t="s">
        <v>619</v>
      </c>
      <c r="D149" s="6">
        <v>1</v>
      </c>
      <c r="E149" s="6" t="s">
        <v>1080</v>
      </c>
      <c r="F149" s="6" t="s">
        <v>1112</v>
      </c>
      <c r="G149" s="6" t="s">
        <v>1176</v>
      </c>
      <c r="H149" s="13">
        <f t="shared" si="2"/>
        <v>136.25</v>
      </c>
      <c r="I149" s="6" t="s">
        <v>1028</v>
      </c>
    </row>
    <row r="150" spans="1:9" x14ac:dyDescent="0.3">
      <c r="A150" s="6" t="s">
        <v>1260</v>
      </c>
      <c r="B150" s="6" t="s">
        <v>194</v>
      </c>
      <c r="C150" s="6" t="s">
        <v>619</v>
      </c>
      <c r="D150" s="6">
        <v>1</v>
      </c>
      <c r="E150" s="6" t="s">
        <v>1261</v>
      </c>
      <c r="F150" s="6" t="s">
        <v>1056</v>
      </c>
      <c r="G150" s="6" t="s">
        <v>1087</v>
      </c>
      <c r="H150" s="13">
        <f t="shared" si="2"/>
        <v>136.25</v>
      </c>
      <c r="I150" s="6" t="s">
        <v>1028</v>
      </c>
    </row>
    <row r="151" spans="1:9" x14ac:dyDescent="0.3">
      <c r="A151" s="6" t="s">
        <v>1262</v>
      </c>
      <c r="B151" s="6" t="s">
        <v>194</v>
      </c>
      <c r="C151" s="6" t="s">
        <v>673</v>
      </c>
      <c r="D151" s="6">
        <v>1</v>
      </c>
      <c r="E151" s="6" t="s">
        <v>1019</v>
      </c>
      <c r="F151" s="6" t="s">
        <v>1263</v>
      </c>
      <c r="G151" s="6" t="s">
        <v>980</v>
      </c>
      <c r="H151" s="13">
        <f t="shared" si="2"/>
        <v>102.5</v>
      </c>
      <c r="I151" s="6" t="s">
        <v>1044</v>
      </c>
    </row>
    <row r="152" spans="1:9" x14ac:dyDescent="0.3">
      <c r="A152" s="6" t="s">
        <v>1264</v>
      </c>
      <c r="B152" s="6" t="s">
        <v>194</v>
      </c>
      <c r="C152" s="6" t="s">
        <v>673</v>
      </c>
      <c r="D152" s="6">
        <v>1</v>
      </c>
      <c r="E152" s="6" t="s">
        <v>1019</v>
      </c>
      <c r="F152" s="6" t="s">
        <v>1263</v>
      </c>
      <c r="G152" s="6" t="s">
        <v>980</v>
      </c>
      <c r="H152" s="13">
        <f t="shared" si="2"/>
        <v>102.5</v>
      </c>
      <c r="I152" s="6" t="s">
        <v>1044</v>
      </c>
    </row>
    <row r="153" spans="1:9" x14ac:dyDescent="0.3">
      <c r="A153" s="6" t="s">
        <v>1265</v>
      </c>
      <c r="B153" s="6" t="s">
        <v>194</v>
      </c>
      <c r="C153" s="6" t="s">
        <v>684</v>
      </c>
      <c r="D153" s="6">
        <v>1</v>
      </c>
      <c r="E153" s="6" t="s">
        <v>996</v>
      </c>
      <c r="F153" s="6" t="s">
        <v>991</v>
      </c>
      <c r="G153" s="6" t="s">
        <v>1080</v>
      </c>
      <c r="H153" s="13">
        <f t="shared" si="2"/>
        <v>180</v>
      </c>
      <c r="I153" s="6" t="s">
        <v>1203</v>
      </c>
    </row>
    <row r="154" spans="1:9" x14ac:dyDescent="0.3">
      <c r="A154" s="6" t="s">
        <v>1266</v>
      </c>
      <c r="B154" s="6" t="s">
        <v>194</v>
      </c>
      <c r="C154" s="6" t="s">
        <v>684</v>
      </c>
      <c r="D154" s="6">
        <v>1</v>
      </c>
      <c r="E154" s="6" t="s">
        <v>996</v>
      </c>
      <c r="F154" s="6" t="s">
        <v>991</v>
      </c>
      <c r="G154" s="6" t="s">
        <v>1080</v>
      </c>
      <c r="H154" s="13">
        <f t="shared" si="2"/>
        <v>180</v>
      </c>
      <c r="I154" s="6" t="s">
        <v>1203</v>
      </c>
    </row>
    <row r="155" spans="1:9" x14ac:dyDescent="0.3">
      <c r="A155" s="6" t="s">
        <v>1267</v>
      </c>
      <c r="B155" s="6" t="s">
        <v>196</v>
      </c>
      <c r="C155" s="6" t="s">
        <v>744</v>
      </c>
      <c r="D155" s="6">
        <v>1</v>
      </c>
      <c r="E155" s="6" t="s">
        <v>1000</v>
      </c>
      <c r="F155" s="6" t="s">
        <v>1027</v>
      </c>
      <c r="G155" s="6" t="s">
        <v>1197</v>
      </c>
      <c r="H155" s="13">
        <f t="shared" si="2"/>
        <v>887.5</v>
      </c>
      <c r="I155" s="6" t="s">
        <v>1191</v>
      </c>
    </row>
    <row r="156" spans="1:9" x14ac:dyDescent="0.3">
      <c r="A156" s="13" t="s">
        <v>1268</v>
      </c>
      <c r="B156" s="13" t="s">
        <v>305</v>
      </c>
      <c r="C156" s="13" t="s">
        <v>485</v>
      </c>
      <c r="D156" s="13">
        <v>1</v>
      </c>
      <c r="E156" s="13" t="s">
        <v>1261</v>
      </c>
      <c r="F156" s="13" t="s">
        <v>1026</v>
      </c>
      <c r="G156" s="13" t="s">
        <v>1051</v>
      </c>
      <c r="H156" s="13">
        <f t="shared" si="2"/>
        <v>222.5</v>
      </c>
      <c r="I156" s="13" t="s">
        <v>989</v>
      </c>
    </row>
    <row r="157" spans="1:9" x14ac:dyDescent="0.3">
      <c r="A157" s="6" t="s">
        <v>1269</v>
      </c>
      <c r="B157" s="6" t="s">
        <v>200</v>
      </c>
      <c r="C157" s="6" t="s">
        <v>778</v>
      </c>
      <c r="D157" s="6">
        <v>1</v>
      </c>
      <c r="E157" s="6" t="s">
        <v>987</v>
      </c>
      <c r="F157" s="6" t="s">
        <v>1027</v>
      </c>
      <c r="G157" s="6" t="s">
        <v>1072</v>
      </c>
      <c r="H157" s="13">
        <f t="shared" si="2"/>
        <v>155</v>
      </c>
      <c r="I157" s="6" t="s">
        <v>1234</v>
      </c>
    </row>
    <row r="158" spans="1:9" x14ac:dyDescent="0.3">
      <c r="A158" s="6" t="s">
        <v>1270</v>
      </c>
      <c r="B158" s="6" t="s">
        <v>198</v>
      </c>
      <c r="C158" s="6" t="s">
        <v>202</v>
      </c>
      <c r="D158" s="6">
        <v>1</v>
      </c>
      <c r="E158" s="6" t="s">
        <v>1173</v>
      </c>
      <c r="F158" s="6" t="s">
        <v>1271</v>
      </c>
      <c r="G158" s="6" t="s">
        <v>1033</v>
      </c>
      <c r="H158" s="13">
        <f t="shared" si="2"/>
        <v>123.75</v>
      </c>
      <c r="I158" s="6" t="s">
        <v>981</v>
      </c>
    </row>
    <row r="159" spans="1:9" x14ac:dyDescent="0.3">
      <c r="A159" s="6" t="s">
        <v>1272</v>
      </c>
      <c r="B159" s="6" t="s">
        <v>202</v>
      </c>
      <c r="C159" s="6" t="s">
        <v>257</v>
      </c>
      <c r="D159" s="6">
        <v>1</v>
      </c>
      <c r="E159" s="6" t="s">
        <v>1102</v>
      </c>
      <c r="F159" s="6" t="s">
        <v>1273</v>
      </c>
      <c r="G159" s="6" t="s">
        <v>1202</v>
      </c>
      <c r="H159" s="13">
        <f t="shared" si="2"/>
        <v>123.75</v>
      </c>
      <c r="I159" s="6" t="s">
        <v>981</v>
      </c>
    </row>
    <row r="160" spans="1:9" x14ac:dyDescent="0.3">
      <c r="A160" s="6" t="s">
        <v>1274</v>
      </c>
      <c r="B160" s="6" t="s">
        <v>202</v>
      </c>
      <c r="C160" s="6" t="s">
        <v>338</v>
      </c>
      <c r="D160" s="6">
        <v>1</v>
      </c>
      <c r="E160" s="6" t="s">
        <v>1169</v>
      </c>
      <c r="F160" s="6" t="s">
        <v>1275</v>
      </c>
      <c r="G160" s="6" t="s">
        <v>1011</v>
      </c>
      <c r="H160" s="13">
        <f t="shared" si="2"/>
        <v>123.75</v>
      </c>
      <c r="I160" s="6" t="s">
        <v>981</v>
      </c>
    </row>
    <row r="161" spans="1:9" x14ac:dyDescent="0.3">
      <c r="A161" s="6" t="s">
        <v>1276</v>
      </c>
      <c r="B161" s="6" t="s">
        <v>206</v>
      </c>
      <c r="C161" s="6" t="s">
        <v>461</v>
      </c>
      <c r="D161" s="6">
        <v>1</v>
      </c>
      <c r="E161" s="6" t="s">
        <v>1000</v>
      </c>
      <c r="F161" s="6" t="s">
        <v>1011</v>
      </c>
      <c r="G161" s="6" t="s">
        <v>1070</v>
      </c>
      <c r="H161" s="13">
        <f t="shared" si="2"/>
        <v>951.25</v>
      </c>
      <c r="I161" s="6" t="s">
        <v>1277</v>
      </c>
    </row>
    <row r="162" spans="1:9" x14ac:dyDescent="0.3">
      <c r="A162" s="6" t="s">
        <v>3092</v>
      </c>
      <c r="B162" s="6" t="s">
        <v>204</v>
      </c>
      <c r="C162" s="6" t="s">
        <v>469</v>
      </c>
      <c r="D162" s="6">
        <v>1</v>
      </c>
      <c r="E162" s="13">
        <v>1.0000000000000001E-5</v>
      </c>
      <c r="F162" s="6">
        <v>1E-3</v>
      </c>
      <c r="G162" s="6">
        <v>8.0000000000000002E-3</v>
      </c>
      <c r="H162" s="13">
        <f t="shared" si="2"/>
        <v>233.75</v>
      </c>
      <c r="I162" s="6">
        <v>187</v>
      </c>
    </row>
    <row r="163" spans="1:9" x14ac:dyDescent="0.3">
      <c r="A163" s="6" t="s">
        <v>1278</v>
      </c>
      <c r="B163" s="6" t="s">
        <v>206</v>
      </c>
      <c r="C163" s="6" t="s">
        <v>461</v>
      </c>
      <c r="D163" s="6">
        <v>1</v>
      </c>
      <c r="E163" s="6" t="s">
        <v>1000</v>
      </c>
      <c r="F163" s="6" t="s">
        <v>985</v>
      </c>
      <c r="G163" s="6" t="s">
        <v>1202</v>
      </c>
      <c r="H163" s="13">
        <f t="shared" si="2"/>
        <v>951.25</v>
      </c>
      <c r="I163" s="6" t="s">
        <v>1277</v>
      </c>
    </row>
    <row r="164" spans="1:9" x14ac:dyDescent="0.3">
      <c r="A164" s="6" t="s">
        <v>1279</v>
      </c>
      <c r="B164" s="6" t="s">
        <v>206</v>
      </c>
      <c r="C164" s="6" t="s">
        <v>572</v>
      </c>
      <c r="D164" s="6">
        <v>1</v>
      </c>
      <c r="E164" s="6" t="s">
        <v>1000</v>
      </c>
      <c r="F164" s="6" t="s">
        <v>985</v>
      </c>
      <c r="G164" s="6" t="s">
        <v>1261</v>
      </c>
      <c r="H164" s="13">
        <f t="shared" si="2"/>
        <v>951.25</v>
      </c>
      <c r="I164" s="6" t="s">
        <v>1277</v>
      </c>
    </row>
    <row r="165" spans="1:9" x14ac:dyDescent="0.3">
      <c r="A165" s="6" t="s">
        <v>1280</v>
      </c>
      <c r="B165" s="6" t="s">
        <v>206</v>
      </c>
      <c r="C165" s="6" t="s">
        <v>572</v>
      </c>
      <c r="D165" s="6">
        <v>1</v>
      </c>
      <c r="E165" s="6" t="s">
        <v>1000</v>
      </c>
      <c r="F165" s="6" t="s">
        <v>1051</v>
      </c>
      <c r="G165" s="6" t="s">
        <v>1184</v>
      </c>
      <c r="H165" s="13">
        <f t="shared" si="2"/>
        <v>951.25</v>
      </c>
      <c r="I165" s="6" t="s">
        <v>1277</v>
      </c>
    </row>
    <row r="166" spans="1:9" x14ac:dyDescent="0.3">
      <c r="A166" s="6" t="s">
        <v>1281</v>
      </c>
      <c r="B166" s="6" t="s">
        <v>208</v>
      </c>
      <c r="C166" s="6" t="s">
        <v>465</v>
      </c>
      <c r="D166" s="6">
        <v>1</v>
      </c>
      <c r="E166" s="6" t="s">
        <v>1202</v>
      </c>
      <c r="F166" s="6" t="s">
        <v>1001</v>
      </c>
      <c r="G166" s="6" t="s">
        <v>1019</v>
      </c>
      <c r="H166" s="13">
        <f t="shared" si="2"/>
        <v>222.5</v>
      </c>
      <c r="I166" s="6" t="s">
        <v>989</v>
      </c>
    </row>
    <row r="167" spans="1:9" x14ac:dyDescent="0.3">
      <c r="A167" s="6" t="s">
        <v>1282</v>
      </c>
      <c r="B167" s="6" t="s">
        <v>208</v>
      </c>
      <c r="C167" s="6" t="s">
        <v>564</v>
      </c>
      <c r="D167" s="6">
        <v>1</v>
      </c>
      <c r="E167" s="6" t="s">
        <v>1000</v>
      </c>
      <c r="F167" s="6" t="s">
        <v>1061</v>
      </c>
      <c r="G167" s="6" t="s">
        <v>996</v>
      </c>
      <c r="H167" s="13">
        <f t="shared" si="2"/>
        <v>222.5</v>
      </c>
      <c r="I167" s="6" t="s">
        <v>989</v>
      </c>
    </row>
    <row r="168" spans="1:9" x14ac:dyDescent="0.3">
      <c r="A168" s="6" t="s">
        <v>1283</v>
      </c>
      <c r="B168" s="6" t="s">
        <v>210</v>
      </c>
      <c r="C168" s="6" t="s">
        <v>561</v>
      </c>
      <c r="D168" s="6">
        <v>1</v>
      </c>
      <c r="E168" s="6" t="s">
        <v>991</v>
      </c>
      <c r="F168" s="6" t="s">
        <v>1011</v>
      </c>
      <c r="G168" s="6" t="s">
        <v>1059</v>
      </c>
      <c r="H168" s="13">
        <f t="shared" si="2"/>
        <v>143.75</v>
      </c>
      <c r="I168" s="6" t="s">
        <v>1229</v>
      </c>
    </row>
    <row r="169" spans="1:9" x14ac:dyDescent="0.3">
      <c r="A169" s="6" t="s">
        <v>1284</v>
      </c>
      <c r="B169" s="6" t="s">
        <v>218</v>
      </c>
      <c r="C169" s="6" t="s">
        <v>382</v>
      </c>
      <c r="D169" s="6">
        <v>1</v>
      </c>
      <c r="E169" s="6" t="s">
        <v>995</v>
      </c>
      <c r="F169" s="6" t="s">
        <v>991</v>
      </c>
      <c r="G169" s="6" t="s">
        <v>1015</v>
      </c>
      <c r="H169" s="13">
        <f t="shared" si="2"/>
        <v>542.5</v>
      </c>
      <c r="I169" s="6" t="s">
        <v>1013</v>
      </c>
    </row>
    <row r="170" spans="1:9" x14ac:dyDescent="0.3">
      <c r="A170" s="6" t="s">
        <v>1285</v>
      </c>
      <c r="B170" s="6" t="s">
        <v>218</v>
      </c>
      <c r="C170" s="6" t="s">
        <v>382</v>
      </c>
      <c r="D170" s="6">
        <v>1</v>
      </c>
      <c r="E170" s="6" t="s">
        <v>995</v>
      </c>
      <c r="F170" s="6" t="s">
        <v>991</v>
      </c>
      <c r="G170" s="6" t="s">
        <v>1015</v>
      </c>
      <c r="H170" s="13">
        <f t="shared" si="2"/>
        <v>542.5</v>
      </c>
      <c r="I170" s="6" t="s">
        <v>1013</v>
      </c>
    </row>
    <row r="171" spans="1:9" x14ac:dyDescent="0.3">
      <c r="A171" s="6" t="s">
        <v>1286</v>
      </c>
      <c r="B171" s="6" t="s">
        <v>218</v>
      </c>
      <c r="C171" s="6" t="s">
        <v>451</v>
      </c>
      <c r="D171" s="6">
        <v>1</v>
      </c>
      <c r="E171" s="6" t="s">
        <v>995</v>
      </c>
      <c r="F171" s="6" t="s">
        <v>996</v>
      </c>
      <c r="G171" s="6" t="s">
        <v>1287</v>
      </c>
      <c r="H171" s="13">
        <f t="shared" si="2"/>
        <v>693.75</v>
      </c>
      <c r="I171" s="6" t="s">
        <v>1288</v>
      </c>
    </row>
    <row r="172" spans="1:9" x14ac:dyDescent="0.3">
      <c r="A172" s="13" t="s">
        <v>1289</v>
      </c>
      <c r="B172" s="13" t="s">
        <v>216</v>
      </c>
      <c r="C172" s="13" t="s">
        <v>133</v>
      </c>
      <c r="D172" s="13">
        <v>1</v>
      </c>
      <c r="E172" s="13">
        <v>7.9000000000000001E-2</v>
      </c>
      <c r="F172" s="13">
        <v>0.191</v>
      </c>
      <c r="G172" s="13">
        <v>2.5000000000000001E-2</v>
      </c>
      <c r="H172" s="13">
        <f t="shared" si="2"/>
        <v>153.75</v>
      </c>
      <c r="I172" s="13">
        <v>123</v>
      </c>
    </row>
    <row r="173" spans="1:9" x14ac:dyDescent="0.3">
      <c r="A173" s="6" t="s">
        <v>3093</v>
      </c>
      <c r="B173" s="6" t="s">
        <v>218</v>
      </c>
      <c r="C173" s="6" t="s">
        <v>3009</v>
      </c>
      <c r="D173" s="6">
        <v>1</v>
      </c>
      <c r="E173" s="6">
        <v>7.0000000000000001E-3</v>
      </c>
      <c r="F173" s="6">
        <v>3.5999999999999997E-2</v>
      </c>
      <c r="G173" s="6">
        <v>4.0000000000000001E-3</v>
      </c>
      <c r="H173" s="13">
        <f t="shared" si="2"/>
        <v>222.5</v>
      </c>
      <c r="I173" s="6">
        <v>178</v>
      </c>
    </row>
    <row r="174" spans="1:9" x14ac:dyDescent="0.3">
      <c r="A174" s="13" t="s">
        <v>1290</v>
      </c>
      <c r="B174" s="13" t="s">
        <v>133</v>
      </c>
      <c r="C174" s="13" t="s">
        <v>613</v>
      </c>
      <c r="D174" s="13">
        <v>1</v>
      </c>
      <c r="E174" s="13">
        <v>1.7000000000000001E-2</v>
      </c>
      <c r="F174" s="13">
        <v>5.6000000000000001E-2</v>
      </c>
      <c r="G174" s="13">
        <v>3.1E-2</v>
      </c>
      <c r="H174" s="13">
        <f t="shared" si="2"/>
        <v>162.5</v>
      </c>
      <c r="I174" s="13">
        <v>130</v>
      </c>
    </row>
    <row r="175" spans="1:9" x14ac:dyDescent="0.3">
      <c r="A175" s="6" t="s">
        <v>1291</v>
      </c>
      <c r="B175" s="6" t="s">
        <v>216</v>
      </c>
      <c r="C175" s="6" t="s">
        <v>655</v>
      </c>
      <c r="D175" s="6">
        <v>1</v>
      </c>
      <c r="E175" s="6" t="s">
        <v>1076</v>
      </c>
      <c r="F175" s="6" t="s">
        <v>1048</v>
      </c>
      <c r="G175" s="6" t="s">
        <v>1107</v>
      </c>
      <c r="H175" s="13">
        <f t="shared" si="2"/>
        <v>222.5</v>
      </c>
      <c r="I175" s="6" t="s">
        <v>989</v>
      </c>
    </row>
    <row r="176" spans="1:9" x14ac:dyDescent="0.3">
      <c r="A176" s="6" t="s">
        <v>1292</v>
      </c>
      <c r="B176" s="6" t="s">
        <v>216</v>
      </c>
      <c r="C176" s="6" t="s">
        <v>694</v>
      </c>
      <c r="D176" s="6">
        <v>1</v>
      </c>
      <c r="E176" s="6" t="s">
        <v>1070</v>
      </c>
      <c r="F176" s="6" t="s">
        <v>1169</v>
      </c>
      <c r="G176" s="6" t="s">
        <v>1015</v>
      </c>
      <c r="H176" s="13">
        <f t="shared" si="2"/>
        <v>128.75</v>
      </c>
      <c r="I176" s="6" t="s">
        <v>1023</v>
      </c>
    </row>
    <row r="177" spans="1:9" x14ac:dyDescent="0.3">
      <c r="A177" s="6" t="s">
        <v>1293</v>
      </c>
      <c r="B177" s="6" t="s">
        <v>216</v>
      </c>
      <c r="C177" s="6" t="s">
        <v>698</v>
      </c>
      <c r="D177" s="6">
        <v>1</v>
      </c>
      <c r="E177" s="6" t="s">
        <v>995</v>
      </c>
      <c r="F177" s="6" t="s">
        <v>991</v>
      </c>
      <c r="G177" s="6" t="s">
        <v>1080</v>
      </c>
      <c r="H177" s="13">
        <f t="shared" si="2"/>
        <v>297.5</v>
      </c>
      <c r="I177" s="6" t="s">
        <v>1294</v>
      </c>
    </row>
    <row r="178" spans="1:9" x14ac:dyDescent="0.3">
      <c r="A178" s="6" t="s">
        <v>1295</v>
      </c>
      <c r="B178" s="6" t="s">
        <v>218</v>
      </c>
      <c r="C178" s="6" t="s">
        <v>805</v>
      </c>
      <c r="D178" s="6">
        <v>1</v>
      </c>
      <c r="E178" s="6" t="s">
        <v>1000</v>
      </c>
      <c r="F178" s="6" t="s">
        <v>1184</v>
      </c>
      <c r="G178" s="6" t="s">
        <v>1076</v>
      </c>
      <c r="H178" s="13">
        <f t="shared" si="2"/>
        <v>542.5</v>
      </c>
      <c r="I178" s="6" t="s">
        <v>1013</v>
      </c>
    </row>
    <row r="179" spans="1:9" x14ac:dyDescent="0.3">
      <c r="A179" s="6" t="s">
        <v>1296</v>
      </c>
      <c r="B179" s="6" t="s">
        <v>220</v>
      </c>
      <c r="C179" s="6" t="s">
        <v>68</v>
      </c>
      <c r="D179" s="6">
        <v>1</v>
      </c>
      <c r="E179" s="6" t="s">
        <v>1011</v>
      </c>
      <c r="F179" s="6" t="s">
        <v>1124</v>
      </c>
      <c r="G179" s="6" t="s">
        <v>1015</v>
      </c>
      <c r="H179" s="13">
        <f t="shared" si="2"/>
        <v>222.5</v>
      </c>
      <c r="I179" s="6" t="s">
        <v>989</v>
      </c>
    </row>
    <row r="180" spans="1:9" x14ac:dyDescent="0.3">
      <c r="A180" s="6" t="s">
        <v>1297</v>
      </c>
      <c r="B180" s="6" t="s">
        <v>220</v>
      </c>
      <c r="C180" s="6" t="s">
        <v>440</v>
      </c>
      <c r="D180" s="6">
        <v>1</v>
      </c>
      <c r="E180" s="6" t="s">
        <v>1018</v>
      </c>
      <c r="F180" s="6" t="s">
        <v>1027</v>
      </c>
      <c r="G180" s="6" t="s">
        <v>991</v>
      </c>
      <c r="H180" s="13">
        <f t="shared" si="2"/>
        <v>165</v>
      </c>
      <c r="I180" s="6" t="s">
        <v>1250</v>
      </c>
    </row>
    <row r="181" spans="1:9" x14ac:dyDescent="0.3">
      <c r="A181" s="6" t="s">
        <v>1298</v>
      </c>
      <c r="B181" s="6" t="s">
        <v>220</v>
      </c>
      <c r="C181" s="6" t="s">
        <v>731</v>
      </c>
      <c r="D181" s="6">
        <v>1</v>
      </c>
      <c r="E181" s="6" t="s">
        <v>1202</v>
      </c>
      <c r="F181" s="6" t="s">
        <v>1149</v>
      </c>
      <c r="G181" s="6" t="s">
        <v>1018</v>
      </c>
      <c r="H181" s="13">
        <f t="shared" si="2"/>
        <v>222.5</v>
      </c>
      <c r="I181" s="6" t="s">
        <v>989</v>
      </c>
    </row>
    <row r="182" spans="1:9" x14ac:dyDescent="0.3">
      <c r="A182" s="6" t="s">
        <v>1299</v>
      </c>
      <c r="B182" s="6" t="s">
        <v>222</v>
      </c>
      <c r="C182" s="6" t="s">
        <v>288</v>
      </c>
      <c r="D182" s="6">
        <v>1</v>
      </c>
      <c r="E182" s="6" t="s">
        <v>996</v>
      </c>
      <c r="F182" s="6" t="s">
        <v>1018</v>
      </c>
      <c r="G182" s="6" t="s">
        <v>1043</v>
      </c>
      <c r="H182" s="13">
        <f t="shared" si="2"/>
        <v>180</v>
      </c>
      <c r="I182" s="6" t="s">
        <v>1203</v>
      </c>
    </row>
    <row r="183" spans="1:9" x14ac:dyDescent="0.3">
      <c r="A183" s="6" t="s">
        <v>1300</v>
      </c>
      <c r="B183" s="6" t="s">
        <v>222</v>
      </c>
      <c r="C183" s="6" t="s">
        <v>288</v>
      </c>
      <c r="D183" s="6">
        <v>1</v>
      </c>
      <c r="E183" s="6" t="s">
        <v>996</v>
      </c>
      <c r="F183" s="6" t="s">
        <v>1018</v>
      </c>
      <c r="G183" s="6" t="s">
        <v>1043</v>
      </c>
      <c r="H183" s="13">
        <f t="shared" si="2"/>
        <v>180</v>
      </c>
      <c r="I183" s="6" t="s">
        <v>1203</v>
      </c>
    </row>
    <row r="184" spans="1:9" x14ac:dyDescent="0.3">
      <c r="A184" s="6" t="s">
        <v>1301</v>
      </c>
      <c r="B184" s="6" t="s">
        <v>226</v>
      </c>
      <c r="C184" s="6" t="s">
        <v>185</v>
      </c>
      <c r="D184" s="6">
        <v>1</v>
      </c>
      <c r="E184" s="6" t="s">
        <v>996</v>
      </c>
      <c r="F184" s="6" t="s">
        <v>987</v>
      </c>
      <c r="G184" s="6" t="s">
        <v>1249</v>
      </c>
      <c r="H184" s="13">
        <f t="shared" si="2"/>
        <v>175</v>
      </c>
      <c r="I184" s="6" t="s">
        <v>1020</v>
      </c>
    </row>
    <row r="185" spans="1:9" x14ac:dyDescent="0.3">
      <c r="A185" s="6" t="s">
        <v>1302</v>
      </c>
      <c r="B185" s="6" t="s">
        <v>226</v>
      </c>
      <c r="C185" s="6" t="s">
        <v>238</v>
      </c>
      <c r="D185" s="6">
        <v>1</v>
      </c>
      <c r="E185" s="6" t="s">
        <v>1000</v>
      </c>
      <c r="F185" s="6" t="s">
        <v>1011</v>
      </c>
      <c r="G185" s="6" t="s">
        <v>1142</v>
      </c>
      <c r="H185" s="13">
        <f t="shared" si="2"/>
        <v>175</v>
      </c>
      <c r="I185" s="6" t="s">
        <v>1020</v>
      </c>
    </row>
    <row r="186" spans="1:9" x14ac:dyDescent="0.3">
      <c r="A186" s="6" t="s">
        <v>1303</v>
      </c>
      <c r="B186" s="6" t="s">
        <v>226</v>
      </c>
      <c r="C186" s="6" t="s">
        <v>245</v>
      </c>
      <c r="D186" s="6">
        <v>1</v>
      </c>
      <c r="E186" s="6" t="s">
        <v>980</v>
      </c>
      <c r="F186" s="6" t="s">
        <v>1261</v>
      </c>
      <c r="G186" s="6" t="s">
        <v>1000</v>
      </c>
      <c r="H186" s="13">
        <f t="shared" si="2"/>
        <v>170</v>
      </c>
      <c r="I186" s="6" t="s">
        <v>1120</v>
      </c>
    </row>
    <row r="187" spans="1:9" x14ac:dyDescent="0.3">
      <c r="A187" s="6" t="s">
        <v>1304</v>
      </c>
      <c r="B187" s="6" t="s">
        <v>226</v>
      </c>
      <c r="C187" s="6" t="s">
        <v>259</v>
      </c>
      <c r="D187" s="6">
        <v>1</v>
      </c>
      <c r="E187" s="6" t="s">
        <v>1025</v>
      </c>
      <c r="F187" s="6" t="s">
        <v>1095</v>
      </c>
      <c r="G187" s="6" t="s">
        <v>1011</v>
      </c>
      <c r="H187" s="13">
        <f t="shared" si="2"/>
        <v>222.5</v>
      </c>
      <c r="I187" s="6" t="s">
        <v>989</v>
      </c>
    </row>
    <row r="188" spans="1:9" x14ac:dyDescent="0.3">
      <c r="A188" s="6" t="s">
        <v>1305</v>
      </c>
      <c r="B188" s="6" t="s">
        <v>226</v>
      </c>
      <c r="C188" s="6" t="s">
        <v>259</v>
      </c>
      <c r="D188" s="6">
        <v>1</v>
      </c>
      <c r="E188" s="6" t="s">
        <v>1184</v>
      </c>
      <c r="F188" s="6" t="s">
        <v>1095</v>
      </c>
      <c r="G188" s="6" t="s">
        <v>1184</v>
      </c>
      <c r="H188" s="13">
        <f t="shared" si="2"/>
        <v>222.5</v>
      </c>
      <c r="I188" s="6" t="s">
        <v>989</v>
      </c>
    </row>
    <row r="189" spans="1:9" x14ac:dyDescent="0.3">
      <c r="A189" s="6" t="s">
        <v>1306</v>
      </c>
      <c r="B189" s="6" t="s">
        <v>226</v>
      </c>
      <c r="C189" s="6" t="s">
        <v>273</v>
      </c>
      <c r="D189" s="6">
        <v>1</v>
      </c>
      <c r="E189" s="6" t="s">
        <v>1025</v>
      </c>
      <c r="F189" s="6" t="s">
        <v>1307</v>
      </c>
      <c r="G189" s="6" t="s">
        <v>1004</v>
      </c>
      <c r="H189" s="13">
        <f t="shared" si="2"/>
        <v>222.5</v>
      </c>
      <c r="I189" s="6" t="s">
        <v>989</v>
      </c>
    </row>
    <row r="190" spans="1:9" x14ac:dyDescent="0.3">
      <c r="A190" s="6" t="s">
        <v>1308</v>
      </c>
      <c r="B190" s="6" t="s">
        <v>226</v>
      </c>
      <c r="C190" s="6" t="s">
        <v>731</v>
      </c>
      <c r="D190" s="6">
        <v>1</v>
      </c>
      <c r="E190" s="6" t="s">
        <v>1089</v>
      </c>
      <c r="F190" s="6" t="s">
        <v>1309</v>
      </c>
      <c r="G190" s="6" t="s">
        <v>1054</v>
      </c>
      <c r="H190" s="13">
        <f t="shared" si="2"/>
        <v>245</v>
      </c>
      <c r="I190" s="6" t="s">
        <v>1132</v>
      </c>
    </row>
    <row r="191" spans="1:9" x14ac:dyDescent="0.3">
      <c r="A191" s="6" t="s">
        <v>1310</v>
      </c>
      <c r="B191" s="6" t="s">
        <v>226</v>
      </c>
      <c r="C191" s="6" t="s">
        <v>731</v>
      </c>
      <c r="D191" s="6">
        <v>1</v>
      </c>
      <c r="E191" s="6" t="s">
        <v>1122</v>
      </c>
      <c r="F191" s="6" t="s">
        <v>1311</v>
      </c>
      <c r="G191" s="6" t="s">
        <v>992</v>
      </c>
      <c r="H191" s="13">
        <f t="shared" si="2"/>
        <v>222.5</v>
      </c>
      <c r="I191" s="6" t="s">
        <v>989</v>
      </c>
    </row>
    <row r="192" spans="1:9" x14ac:dyDescent="0.3">
      <c r="A192" s="6" t="s">
        <v>3094</v>
      </c>
      <c r="B192" s="22" t="s">
        <v>2977</v>
      </c>
      <c r="C192" s="6" t="s">
        <v>613</v>
      </c>
      <c r="D192" s="6">
        <v>1</v>
      </c>
      <c r="E192" s="6">
        <v>1.2E-2</v>
      </c>
      <c r="F192" s="6">
        <v>6.2E-2</v>
      </c>
      <c r="G192" s="6">
        <v>7.0000000000000001E-3</v>
      </c>
      <c r="H192" s="13">
        <f t="shared" si="2"/>
        <v>222.5</v>
      </c>
      <c r="I192" s="6">
        <v>178</v>
      </c>
    </row>
    <row r="193" spans="1:9" x14ac:dyDescent="0.3">
      <c r="A193" s="6" t="s">
        <v>3095</v>
      </c>
      <c r="B193" s="22" t="s">
        <v>2977</v>
      </c>
      <c r="C193" s="6" t="s">
        <v>477</v>
      </c>
      <c r="D193" s="6">
        <v>1</v>
      </c>
      <c r="E193" s="6">
        <v>4.0000000000000001E-3</v>
      </c>
      <c r="F193" s="6">
        <v>2.1999999999999999E-2</v>
      </c>
      <c r="G193" s="6">
        <v>2E-3</v>
      </c>
      <c r="H193" s="13">
        <f t="shared" si="2"/>
        <v>222.5</v>
      </c>
      <c r="I193" s="6">
        <v>178</v>
      </c>
    </row>
    <row r="194" spans="1:9" x14ac:dyDescent="0.3">
      <c r="A194" s="6" t="s">
        <v>1312</v>
      </c>
      <c r="B194" s="6" t="s">
        <v>229</v>
      </c>
      <c r="C194" s="6" t="s">
        <v>394</v>
      </c>
      <c r="D194" s="6">
        <v>1</v>
      </c>
      <c r="E194" s="6" t="s">
        <v>996</v>
      </c>
      <c r="F194" s="6" t="s">
        <v>996</v>
      </c>
      <c r="G194" s="6" t="s">
        <v>1016</v>
      </c>
      <c r="H194" s="13">
        <f t="shared" si="2"/>
        <v>162.5</v>
      </c>
      <c r="I194" s="6" t="s">
        <v>1125</v>
      </c>
    </row>
    <row r="195" spans="1:9" x14ac:dyDescent="0.3">
      <c r="A195" s="6" t="s">
        <v>1313</v>
      </c>
      <c r="B195" s="6" t="s">
        <v>232</v>
      </c>
      <c r="C195" s="6" t="s">
        <v>411</v>
      </c>
      <c r="D195" s="6">
        <v>1</v>
      </c>
      <c r="E195" s="6" t="s">
        <v>1314</v>
      </c>
      <c r="F195" s="6" t="s">
        <v>1275</v>
      </c>
      <c r="G195" s="6" t="s">
        <v>1011</v>
      </c>
      <c r="H195" s="13">
        <f t="shared" ref="H195:H258" si="3">I195*1.25</f>
        <v>123.75</v>
      </c>
      <c r="I195" s="6" t="s">
        <v>981</v>
      </c>
    </row>
    <row r="196" spans="1:9" x14ac:dyDescent="0.3">
      <c r="A196" s="6" t="s">
        <v>1315</v>
      </c>
      <c r="B196" s="6" t="s">
        <v>232</v>
      </c>
      <c r="C196" s="6" t="s">
        <v>485</v>
      </c>
      <c r="D196" s="6">
        <v>1</v>
      </c>
      <c r="E196" s="6" t="s">
        <v>1025</v>
      </c>
      <c r="F196" s="6" t="s">
        <v>1085</v>
      </c>
      <c r="G196" s="6" t="s">
        <v>1107</v>
      </c>
      <c r="H196" s="13">
        <f t="shared" si="3"/>
        <v>170</v>
      </c>
      <c r="I196" s="6" t="s">
        <v>1120</v>
      </c>
    </row>
    <row r="197" spans="1:9" x14ac:dyDescent="0.3">
      <c r="A197" s="6" t="s">
        <v>1316</v>
      </c>
      <c r="B197" s="6" t="s">
        <v>232</v>
      </c>
      <c r="C197" s="6" t="s">
        <v>568</v>
      </c>
      <c r="D197" s="6">
        <v>1</v>
      </c>
      <c r="E197" s="6" t="s">
        <v>1070</v>
      </c>
      <c r="F197" s="6" t="s">
        <v>1214</v>
      </c>
      <c r="G197" s="6" t="s">
        <v>1061</v>
      </c>
      <c r="H197" s="13">
        <f t="shared" si="3"/>
        <v>222.5</v>
      </c>
      <c r="I197" s="6" t="s">
        <v>989</v>
      </c>
    </row>
    <row r="198" spans="1:9" x14ac:dyDescent="0.3">
      <c r="A198" s="6" t="s">
        <v>1317</v>
      </c>
      <c r="B198" s="6" t="s">
        <v>234</v>
      </c>
      <c r="C198" s="6" t="s">
        <v>378</v>
      </c>
      <c r="D198" s="6">
        <v>1</v>
      </c>
      <c r="E198" s="6" t="s">
        <v>1018</v>
      </c>
      <c r="F198" s="6" t="s">
        <v>1061</v>
      </c>
      <c r="G198" s="6" t="s">
        <v>996</v>
      </c>
      <c r="H198" s="13">
        <f t="shared" si="3"/>
        <v>131.25</v>
      </c>
      <c r="I198" s="6" t="s">
        <v>1031</v>
      </c>
    </row>
    <row r="199" spans="1:9" x14ac:dyDescent="0.3">
      <c r="A199" s="6" t="s">
        <v>1318</v>
      </c>
      <c r="B199" s="6" t="s">
        <v>236</v>
      </c>
      <c r="C199" s="6" t="s">
        <v>204</v>
      </c>
      <c r="D199" s="6">
        <v>1</v>
      </c>
      <c r="E199" s="6" t="s">
        <v>995</v>
      </c>
      <c r="F199" s="6" t="s">
        <v>996</v>
      </c>
      <c r="G199" s="6" t="s">
        <v>1061</v>
      </c>
      <c r="H199" s="13">
        <f t="shared" si="3"/>
        <v>233.75</v>
      </c>
      <c r="I199" s="6" t="s">
        <v>1152</v>
      </c>
    </row>
    <row r="200" spans="1:9" x14ac:dyDescent="0.3">
      <c r="A200" s="6" t="s">
        <v>1319</v>
      </c>
      <c r="B200" s="6" t="s">
        <v>236</v>
      </c>
      <c r="C200" s="6" t="s">
        <v>204</v>
      </c>
      <c r="D200" s="6">
        <v>1</v>
      </c>
      <c r="E200" s="6" t="s">
        <v>995</v>
      </c>
      <c r="F200" s="6" t="s">
        <v>996</v>
      </c>
      <c r="G200" s="6" t="s">
        <v>1061</v>
      </c>
      <c r="H200" s="13">
        <f t="shared" si="3"/>
        <v>233.75</v>
      </c>
      <c r="I200" s="6" t="s">
        <v>1152</v>
      </c>
    </row>
    <row r="201" spans="1:9" x14ac:dyDescent="0.3">
      <c r="A201" s="6" t="s">
        <v>1320</v>
      </c>
      <c r="B201" s="6" t="s">
        <v>236</v>
      </c>
      <c r="C201" s="6" t="s">
        <v>521</v>
      </c>
      <c r="D201" s="6">
        <v>1</v>
      </c>
      <c r="E201" s="6" t="s">
        <v>995</v>
      </c>
      <c r="F201" s="6" t="s">
        <v>996</v>
      </c>
      <c r="G201" s="6" t="s">
        <v>1061</v>
      </c>
      <c r="H201" s="13">
        <f t="shared" si="3"/>
        <v>233.75</v>
      </c>
      <c r="I201" s="6" t="s">
        <v>1152</v>
      </c>
    </row>
    <row r="202" spans="1:9" x14ac:dyDescent="0.3">
      <c r="A202" s="6" t="s">
        <v>1321</v>
      </c>
      <c r="B202" s="6" t="s">
        <v>239</v>
      </c>
      <c r="C202" s="6" t="s">
        <v>234</v>
      </c>
      <c r="D202" s="6">
        <v>1</v>
      </c>
      <c r="E202" s="6" t="s">
        <v>1018</v>
      </c>
      <c r="F202" s="6" t="s">
        <v>1061</v>
      </c>
      <c r="G202" s="6" t="s">
        <v>1043</v>
      </c>
      <c r="H202" s="13">
        <f t="shared" si="3"/>
        <v>131.25</v>
      </c>
      <c r="I202" s="6" t="s">
        <v>1031</v>
      </c>
    </row>
    <row r="203" spans="1:9" x14ac:dyDescent="0.3">
      <c r="A203" s="6" t="s">
        <v>1322</v>
      </c>
      <c r="B203" s="6" t="s">
        <v>239</v>
      </c>
      <c r="C203" s="6" t="s">
        <v>271</v>
      </c>
      <c r="D203" s="6">
        <v>1</v>
      </c>
      <c r="E203" s="6" t="s">
        <v>1107</v>
      </c>
      <c r="F203" s="6" t="s">
        <v>1314</v>
      </c>
      <c r="G203" s="6" t="s">
        <v>1078</v>
      </c>
      <c r="H203" s="13">
        <f t="shared" si="3"/>
        <v>162.5</v>
      </c>
      <c r="I203" s="6" t="s">
        <v>1125</v>
      </c>
    </row>
    <row r="204" spans="1:9" x14ac:dyDescent="0.3">
      <c r="A204" s="6" t="s">
        <v>1323</v>
      </c>
      <c r="B204" s="6" t="s">
        <v>241</v>
      </c>
      <c r="C204" s="6" t="s">
        <v>360</v>
      </c>
      <c r="D204" s="6">
        <v>1</v>
      </c>
      <c r="E204" s="6" t="s">
        <v>1015</v>
      </c>
      <c r="F204" s="6" t="s">
        <v>1092</v>
      </c>
      <c r="G204" s="6" t="s">
        <v>1324</v>
      </c>
      <c r="H204" s="13">
        <f t="shared" si="3"/>
        <v>542.5</v>
      </c>
      <c r="I204" s="6" t="s">
        <v>1013</v>
      </c>
    </row>
    <row r="205" spans="1:9" x14ac:dyDescent="0.3">
      <c r="A205" s="6" t="s">
        <v>1325</v>
      </c>
      <c r="B205" s="6" t="s">
        <v>239</v>
      </c>
      <c r="C205" s="6" t="s">
        <v>378</v>
      </c>
      <c r="D205" s="6">
        <v>1</v>
      </c>
      <c r="E205" s="6" t="s">
        <v>1015</v>
      </c>
      <c r="F205" s="6" t="s">
        <v>1051</v>
      </c>
      <c r="G205" s="6" t="s">
        <v>996</v>
      </c>
      <c r="H205" s="13">
        <f t="shared" si="3"/>
        <v>131.25</v>
      </c>
      <c r="I205" s="6" t="s">
        <v>1031</v>
      </c>
    </row>
    <row r="206" spans="1:9" x14ac:dyDescent="0.3">
      <c r="A206" s="6" t="s">
        <v>1326</v>
      </c>
      <c r="B206" s="6" t="s">
        <v>239</v>
      </c>
      <c r="C206" s="6" t="s">
        <v>378</v>
      </c>
      <c r="D206" s="6">
        <v>1</v>
      </c>
      <c r="E206" s="6" t="s">
        <v>985</v>
      </c>
      <c r="F206" s="6" t="s">
        <v>1327</v>
      </c>
      <c r="G206" s="6" t="s">
        <v>1000</v>
      </c>
      <c r="H206" s="13">
        <f t="shared" si="3"/>
        <v>131.25</v>
      </c>
      <c r="I206" s="6" t="s">
        <v>1031</v>
      </c>
    </row>
    <row r="207" spans="1:9" x14ac:dyDescent="0.3">
      <c r="A207" s="6" t="s">
        <v>1328</v>
      </c>
      <c r="B207" s="6" t="s">
        <v>241</v>
      </c>
      <c r="C207" s="6" t="s">
        <v>463</v>
      </c>
      <c r="D207" s="6">
        <v>1</v>
      </c>
      <c r="E207" s="6" t="s">
        <v>995</v>
      </c>
      <c r="F207" s="6" t="s">
        <v>1015</v>
      </c>
      <c r="G207" s="6" t="s">
        <v>1329</v>
      </c>
      <c r="H207" s="13">
        <f t="shared" si="3"/>
        <v>741.25</v>
      </c>
      <c r="I207" s="6" t="s">
        <v>998</v>
      </c>
    </row>
    <row r="208" spans="1:9" x14ac:dyDescent="0.3">
      <c r="A208" s="6" t="s">
        <v>1330</v>
      </c>
      <c r="B208" s="6" t="s">
        <v>239</v>
      </c>
      <c r="C208" s="6" t="s">
        <v>661</v>
      </c>
      <c r="D208" s="6">
        <v>1</v>
      </c>
      <c r="E208" s="6" t="s">
        <v>996</v>
      </c>
      <c r="F208" s="6" t="s">
        <v>991</v>
      </c>
      <c r="G208" s="6" t="s">
        <v>1331</v>
      </c>
      <c r="H208" s="13">
        <f t="shared" si="3"/>
        <v>148.75</v>
      </c>
      <c r="I208" s="6" t="s">
        <v>1159</v>
      </c>
    </row>
    <row r="209" spans="1:9" x14ac:dyDescent="0.3">
      <c r="A209" s="6" t="s">
        <v>1332</v>
      </c>
      <c r="B209" s="6" t="s">
        <v>243</v>
      </c>
      <c r="C209" s="6" t="s">
        <v>229</v>
      </c>
      <c r="D209" s="6">
        <v>1</v>
      </c>
      <c r="E209" s="6" t="s">
        <v>1018</v>
      </c>
      <c r="F209" s="6" t="s">
        <v>1202</v>
      </c>
      <c r="G209" s="6" t="s">
        <v>991</v>
      </c>
      <c r="H209" s="13">
        <f t="shared" si="3"/>
        <v>222.5</v>
      </c>
      <c r="I209" s="6" t="s">
        <v>989</v>
      </c>
    </row>
    <row r="210" spans="1:9" x14ac:dyDescent="0.3">
      <c r="A210" s="6" t="s">
        <v>1333</v>
      </c>
      <c r="B210" s="6" t="s">
        <v>243</v>
      </c>
      <c r="C210" s="6" t="s">
        <v>438</v>
      </c>
      <c r="D210" s="6">
        <v>1</v>
      </c>
      <c r="E210" s="6" t="s">
        <v>1011</v>
      </c>
      <c r="F210" s="6" t="s">
        <v>1061</v>
      </c>
      <c r="G210" s="6" t="s">
        <v>1228</v>
      </c>
      <c r="H210" s="13">
        <f t="shared" si="3"/>
        <v>150</v>
      </c>
      <c r="I210" s="6" t="s">
        <v>1065</v>
      </c>
    </row>
    <row r="211" spans="1:9" x14ac:dyDescent="0.3">
      <c r="A211" s="6" t="s">
        <v>1334</v>
      </c>
      <c r="B211" s="6" t="s">
        <v>243</v>
      </c>
      <c r="C211" s="6" t="s">
        <v>474</v>
      </c>
      <c r="D211" s="6">
        <v>1</v>
      </c>
      <c r="E211" s="6" t="s">
        <v>1107</v>
      </c>
      <c r="F211" s="6" t="s">
        <v>1335</v>
      </c>
      <c r="G211" s="6" t="s">
        <v>987</v>
      </c>
      <c r="H211" s="13">
        <f t="shared" si="3"/>
        <v>222.5</v>
      </c>
      <c r="I211" s="6" t="s">
        <v>989</v>
      </c>
    </row>
    <row r="212" spans="1:9" x14ac:dyDescent="0.3">
      <c r="A212" s="6" t="s">
        <v>1336</v>
      </c>
      <c r="B212" s="6" t="s">
        <v>247</v>
      </c>
      <c r="C212" s="6" t="s">
        <v>243</v>
      </c>
      <c r="D212" s="6">
        <v>1</v>
      </c>
      <c r="E212" s="6" t="s">
        <v>1027</v>
      </c>
      <c r="F212" s="6" t="s">
        <v>1275</v>
      </c>
      <c r="G212" s="6" t="s">
        <v>1080</v>
      </c>
      <c r="H212" s="13">
        <f t="shared" si="3"/>
        <v>222.5</v>
      </c>
      <c r="I212" s="6" t="s">
        <v>989</v>
      </c>
    </row>
    <row r="213" spans="1:9" x14ac:dyDescent="0.3">
      <c r="A213" s="6" t="s">
        <v>1337</v>
      </c>
      <c r="B213" s="6" t="s">
        <v>247</v>
      </c>
      <c r="C213" s="6" t="s">
        <v>340</v>
      </c>
      <c r="D213" s="6">
        <v>1</v>
      </c>
      <c r="E213" s="6" t="s">
        <v>1022</v>
      </c>
      <c r="F213" s="6" t="s">
        <v>1338</v>
      </c>
      <c r="G213" s="6" t="s">
        <v>1080</v>
      </c>
      <c r="H213" s="13">
        <f t="shared" si="3"/>
        <v>222.5</v>
      </c>
      <c r="I213" s="6" t="s">
        <v>989</v>
      </c>
    </row>
    <row r="214" spans="1:9" x14ac:dyDescent="0.3">
      <c r="A214" s="6" t="s">
        <v>1339</v>
      </c>
      <c r="B214" s="6" t="s">
        <v>249</v>
      </c>
      <c r="C214" s="6" t="s">
        <v>514</v>
      </c>
      <c r="D214" s="6">
        <v>1</v>
      </c>
      <c r="E214" s="6" t="s">
        <v>1015</v>
      </c>
      <c r="F214" s="6" t="s">
        <v>988</v>
      </c>
      <c r="G214" s="6" t="s">
        <v>1331</v>
      </c>
      <c r="H214" s="13">
        <f t="shared" si="3"/>
        <v>807.5</v>
      </c>
      <c r="I214" s="6" t="s">
        <v>1340</v>
      </c>
    </row>
    <row r="215" spans="1:9" x14ac:dyDescent="0.3">
      <c r="A215" s="6" t="s">
        <v>1341</v>
      </c>
      <c r="B215" s="6" t="s">
        <v>247</v>
      </c>
      <c r="C215" s="6" t="s">
        <v>564</v>
      </c>
      <c r="D215" s="6">
        <v>1</v>
      </c>
      <c r="E215" s="6" t="s">
        <v>1018</v>
      </c>
      <c r="F215" s="6" t="s">
        <v>1261</v>
      </c>
      <c r="G215" s="6" t="s">
        <v>1000</v>
      </c>
      <c r="H215" s="13">
        <f t="shared" si="3"/>
        <v>201.25</v>
      </c>
      <c r="I215" s="6" t="s">
        <v>1342</v>
      </c>
    </row>
    <row r="216" spans="1:9" x14ac:dyDescent="0.3">
      <c r="A216" s="6" t="s">
        <v>1343</v>
      </c>
      <c r="B216" s="6" t="s">
        <v>247</v>
      </c>
      <c r="C216" s="6" t="s">
        <v>564</v>
      </c>
      <c r="D216" s="6">
        <v>1</v>
      </c>
      <c r="E216" s="6" t="s">
        <v>1000</v>
      </c>
      <c r="F216" s="6" t="s">
        <v>1051</v>
      </c>
      <c r="G216" s="6" t="s">
        <v>1072</v>
      </c>
      <c r="H216" s="13">
        <f t="shared" si="3"/>
        <v>201.25</v>
      </c>
      <c r="I216" s="6" t="s">
        <v>1342</v>
      </c>
    </row>
    <row r="217" spans="1:9" x14ac:dyDescent="0.3">
      <c r="A217" s="6" t="s">
        <v>1344</v>
      </c>
      <c r="B217" s="6" t="s">
        <v>251</v>
      </c>
      <c r="C217" s="6" t="s">
        <v>218</v>
      </c>
      <c r="D217" s="6">
        <v>1</v>
      </c>
      <c r="E217" s="6" t="s">
        <v>996</v>
      </c>
      <c r="F217" s="6" t="s">
        <v>1018</v>
      </c>
      <c r="G217" s="6" t="s">
        <v>987</v>
      </c>
      <c r="H217" s="13">
        <f t="shared" si="3"/>
        <v>542.5</v>
      </c>
      <c r="I217" s="6" t="s">
        <v>1013</v>
      </c>
    </row>
    <row r="218" spans="1:9" x14ac:dyDescent="0.3">
      <c r="A218" s="6" t="s">
        <v>1345</v>
      </c>
      <c r="B218" s="6" t="s">
        <v>251</v>
      </c>
      <c r="C218" s="6" t="s">
        <v>805</v>
      </c>
      <c r="D218" s="6">
        <v>1</v>
      </c>
      <c r="E218" s="6" t="s">
        <v>1000</v>
      </c>
      <c r="F218" s="6" t="s">
        <v>985</v>
      </c>
      <c r="G218" s="6" t="s">
        <v>1261</v>
      </c>
      <c r="H218" s="13">
        <f t="shared" si="3"/>
        <v>542.5</v>
      </c>
      <c r="I218" s="6" t="s">
        <v>1013</v>
      </c>
    </row>
    <row r="219" spans="1:9" x14ac:dyDescent="0.3">
      <c r="A219" s="6" t="s">
        <v>1346</v>
      </c>
      <c r="B219" s="6" t="s">
        <v>253</v>
      </c>
      <c r="C219" s="6" t="s">
        <v>216</v>
      </c>
      <c r="D219" s="6">
        <v>1</v>
      </c>
      <c r="E219" s="6" t="s">
        <v>996</v>
      </c>
      <c r="F219" s="6" t="s">
        <v>991</v>
      </c>
      <c r="G219" s="6" t="s">
        <v>1030</v>
      </c>
      <c r="H219" s="13">
        <f t="shared" si="3"/>
        <v>233.75</v>
      </c>
      <c r="I219" s="6" t="s">
        <v>1152</v>
      </c>
    </row>
    <row r="220" spans="1:9" x14ac:dyDescent="0.3">
      <c r="A220" s="6" t="s">
        <v>1347</v>
      </c>
      <c r="B220" s="6" t="s">
        <v>253</v>
      </c>
      <c r="C220" s="6" t="s">
        <v>380</v>
      </c>
      <c r="D220" s="6">
        <v>1</v>
      </c>
      <c r="E220" s="6" t="s">
        <v>1018</v>
      </c>
      <c r="F220" s="6" t="s">
        <v>1016</v>
      </c>
      <c r="G220" s="6" t="s">
        <v>987</v>
      </c>
      <c r="H220" s="13">
        <f t="shared" si="3"/>
        <v>155</v>
      </c>
      <c r="I220" s="6" t="s">
        <v>1234</v>
      </c>
    </row>
    <row r="221" spans="1:9" x14ac:dyDescent="0.3">
      <c r="A221" s="6" t="s">
        <v>1348</v>
      </c>
      <c r="B221" s="6" t="s">
        <v>255</v>
      </c>
      <c r="C221" s="6" t="s">
        <v>778</v>
      </c>
      <c r="D221" s="6">
        <v>1</v>
      </c>
      <c r="E221" s="6" t="s">
        <v>1070</v>
      </c>
      <c r="F221" s="6" t="s">
        <v>1122</v>
      </c>
      <c r="G221" s="6" t="s">
        <v>991</v>
      </c>
      <c r="H221" s="13">
        <f t="shared" si="3"/>
        <v>123.75</v>
      </c>
      <c r="I221" s="6" t="s">
        <v>981</v>
      </c>
    </row>
    <row r="222" spans="1:9" x14ac:dyDescent="0.3">
      <c r="A222" s="6" t="s">
        <v>1349</v>
      </c>
      <c r="B222" s="6" t="s">
        <v>255</v>
      </c>
      <c r="C222" s="6" t="s">
        <v>780</v>
      </c>
      <c r="D222" s="6">
        <v>1</v>
      </c>
      <c r="E222" s="6" t="s">
        <v>1202</v>
      </c>
      <c r="F222" s="6" t="s">
        <v>1124</v>
      </c>
      <c r="G222" s="6" t="s">
        <v>1107</v>
      </c>
      <c r="H222" s="13">
        <f t="shared" si="3"/>
        <v>131.25</v>
      </c>
      <c r="I222" s="6" t="s">
        <v>1031</v>
      </c>
    </row>
    <row r="223" spans="1:9" x14ac:dyDescent="0.3">
      <c r="A223" s="6" t="s">
        <v>1350</v>
      </c>
      <c r="B223" s="6" t="s">
        <v>257</v>
      </c>
      <c r="C223" s="6" t="s">
        <v>526</v>
      </c>
      <c r="D223" s="6">
        <v>1</v>
      </c>
      <c r="E223" s="6" t="s">
        <v>1026</v>
      </c>
      <c r="F223" s="6" t="s">
        <v>1351</v>
      </c>
      <c r="G223" s="6" t="s">
        <v>1054</v>
      </c>
      <c r="H223" s="13">
        <f t="shared" si="3"/>
        <v>78.75</v>
      </c>
      <c r="I223" s="6" t="s">
        <v>1205</v>
      </c>
    </row>
    <row r="224" spans="1:9" x14ac:dyDescent="0.3">
      <c r="A224" s="6" t="s">
        <v>1352</v>
      </c>
      <c r="B224" s="6" t="s">
        <v>259</v>
      </c>
      <c r="C224" s="6" t="s">
        <v>226</v>
      </c>
      <c r="D224" s="6">
        <v>1</v>
      </c>
      <c r="E224" s="6" t="s">
        <v>1016</v>
      </c>
      <c r="F224" s="6" t="s">
        <v>1033</v>
      </c>
      <c r="G224" s="6" t="s">
        <v>980</v>
      </c>
      <c r="H224" s="13">
        <f t="shared" si="3"/>
        <v>222.5</v>
      </c>
      <c r="I224" s="6" t="s">
        <v>989</v>
      </c>
    </row>
    <row r="225" spans="1:9" x14ac:dyDescent="0.3">
      <c r="A225" s="6" t="s">
        <v>1353</v>
      </c>
      <c r="B225" s="6" t="s">
        <v>259</v>
      </c>
      <c r="C225" s="6" t="s">
        <v>420</v>
      </c>
      <c r="D225" s="6">
        <v>1</v>
      </c>
      <c r="E225" s="6" t="s">
        <v>995</v>
      </c>
      <c r="F225" s="6" t="s">
        <v>996</v>
      </c>
      <c r="G225" s="6" t="s">
        <v>996</v>
      </c>
      <c r="H225" s="13">
        <f t="shared" si="3"/>
        <v>233.75</v>
      </c>
      <c r="I225" s="6" t="s">
        <v>1152</v>
      </c>
    </row>
    <row r="226" spans="1:9" x14ac:dyDescent="0.3">
      <c r="A226" s="6" t="s">
        <v>1354</v>
      </c>
      <c r="B226" s="6" t="s">
        <v>259</v>
      </c>
      <c r="C226" s="6" t="s">
        <v>607</v>
      </c>
      <c r="D226" s="6">
        <v>1</v>
      </c>
      <c r="E226" s="6" t="s">
        <v>1000</v>
      </c>
      <c r="F226" s="6" t="s">
        <v>1011</v>
      </c>
      <c r="G226" s="6" t="s">
        <v>1355</v>
      </c>
      <c r="H226" s="13">
        <f t="shared" si="3"/>
        <v>170</v>
      </c>
      <c r="I226" s="6" t="s">
        <v>1120</v>
      </c>
    </row>
    <row r="227" spans="1:9" x14ac:dyDescent="0.3">
      <c r="A227" s="6" t="s">
        <v>3096</v>
      </c>
      <c r="B227" s="6" t="s">
        <v>261</v>
      </c>
      <c r="C227" s="6" t="s">
        <v>204</v>
      </c>
      <c r="D227" s="6">
        <v>1</v>
      </c>
      <c r="E227" s="13">
        <v>1.0000000000000001E-5</v>
      </c>
      <c r="F227" s="13">
        <v>1.0000000000000001E-5</v>
      </c>
      <c r="G227" s="6">
        <v>1E-3</v>
      </c>
      <c r="H227" s="13">
        <f t="shared" si="3"/>
        <v>233.75</v>
      </c>
      <c r="I227" s="6">
        <v>187</v>
      </c>
    </row>
    <row r="228" spans="1:9" x14ac:dyDescent="0.3">
      <c r="A228" s="6" t="s">
        <v>3097</v>
      </c>
      <c r="B228" s="6" t="s">
        <v>261</v>
      </c>
      <c r="C228" s="6" t="s">
        <v>521</v>
      </c>
      <c r="D228" s="6">
        <v>1</v>
      </c>
      <c r="E228" s="13">
        <v>1.0000000000000001E-5</v>
      </c>
      <c r="F228" s="6">
        <v>1E-3</v>
      </c>
      <c r="G228" s="6">
        <v>0.01</v>
      </c>
      <c r="H228" s="13">
        <f t="shared" si="3"/>
        <v>233.75</v>
      </c>
      <c r="I228" s="6">
        <v>187</v>
      </c>
    </row>
    <row r="229" spans="1:9" x14ac:dyDescent="0.3">
      <c r="A229" s="6" t="s">
        <v>1356</v>
      </c>
      <c r="B229" s="6" t="s">
        <v>262</v>
      </c>
      <c r="C229" s="6" t="s">
        <v>492</v>
      </c>
      <c r="D229" s="6">
        <v>1</v>
      </c>
      <c r="E229" s="6" t="s">
        <v>1061</v>
      </c>
      <c r="F229" s="6" t="s">
        <v>1027</v>
      </c>
      <c r="G229" s="6" t="s">
        <v>1000</v>
      </c>
      <c r="H229" s="13">
        <f t="shared" si="3"/>
        <v>123.75</v>
      </c>
      <c r="I229" s="6" t="s">
        <v>981</v>
      </c>
    </row>
    <row r="230" spans="1:9" x14ac:dyDescent="0.3">
      <c r="A230" s="6" t="s">
        <v>1357</v>
      </c>
      <c r="B230" s="6" t="s">
        <v>262</v>
      </c>
      <c r="C230" s="6" t="s">
        <v>492</v>
      </c>
      <c r="D230" s="6">
        <v>1</v>
      </c>
      <c r="E230" s="6" t="s">
        <v>1061</v>
      </c>
      <c r="F230" s="6" t="s">
        <v>1027</v>
      </c>
      <c r="G230" s="6" t="s">
        <v>1000</v>
      </c>
      <c r="H230" s="13">
        <f t="shared" si="3"/>
        <v>123.75</v>
      </c>
      <c r="I230" s="6" t="s">
        <v>981</v>
      </c>
    </row>
    <row r="231" spans="1:9" x14ac:dyDescent="0.3">
      <c r="A231" s="6" t="s">
        <v>1358</v>
      </c>
      <c r="B231" s="6" t="s">
        <v>262</v>
      </c>
      <c r="C231" s="6" t="s">
        <v>734</v>
      </c>
      <c r="D231" s="6">
        <v>1</v>
      </c>
      <c r="E231" s="6" t="s">
        <v>978</v>
      </c>
      <c r="F231" s="6" t="s">
        <v>1249</v>
      </c>
      <c r="G231" s="6" t="s">
        <v>980</v>
      </c>
      <c r="H231" s="13">
        <f t="shared" si="3"/>
        <v>131.25</v>
      </c>
      <c r="I231" s="6" t="s">
        <v>1031</v>
      </c>
    </row>
    <row r="232" spans="1:9" x14ac:dyDescent="0.3">
      <c r="A232" s="6" t="s">
        <v>3098</v>
      </c>
      <c r="B232" s="6" t="s">
        <v>2982</v>
      </c>
      <c r="C232" s="13" t="s">
        <v>3006</v>
      </c>
      <c r="D232" s="6">
        <v>1</v>
      </c>
      <c r="E232" s="6">
        <v>8.9999999999999993E-3</v>
      </c>
      <c r="F232" s="6">
        <v>4.4999999999999998E-2</v>
      </c>
      <c r="G232" s="6">
        <v>5.0000000000000001E-3</v>
      </c>
      <c r="H232" s="13">
        <f t="shared" si="3"/>
        <v>222.5</v>
      </c>
      <c r="I232" s="6">
        <v>178</v>
      </c>
    </row>
    <row r="233" spans="1:9" x14ac:dyDescent="0.3">
      <c r="A233" s="6" t="s">
        <v>3099</v>
      </c>
      <c r="B233" s="6" t="s">
        <v>2982</v>
      </c>
      <c r="C233" s="13" t="s">
        <v>657</v>
      </c>
      <c r="D233" s="6">
        <v>1</v>
      </c>
      <c r="E233" s="6">
        <v>5.0000000000000001E-3</v>
      </c>
      <c r="F233" s="6">
        <v>2.5999999999999999E-2</v>
      </c>
      <c r="G233" s="6">
        <v>8.0000000000000002E-3</v>
      </c>
      <c r="H233" s="13">
        <f t="shared" si="3"/>
        <v>222.5</v>
      </c>
      <c r="I233" s="6">
        <v>178</v>
      </c>
    </row>
    <row r="234" spans="1:9" x14ac:dyDescent="0.3">
      <c r="A234" s="6" t="s">
        <v>3100</v>
      </c>
      <c r="B234" s="6" t="s">
        <v>2982</v>
      </c>
      <c r="C234" s="13" t="s">
        <v>603</v>
      </c>
      <c r="D234" s="6">
        <v>1</v>
      </c>
      <c r="E234" s="6">
        <v>3.0000000000000001E-3</v>
      </c>
      <c r="F234" s="6">
        <v>1.0999999999999999E-2</v>
      </c>
      <c r="G234" s="6">
        <v>0.85799999999999998</v>
      </c>
      <c r="H234" s="13">
        <f t="shared" si="3"/>
        <v>1971.25</v>
      </c>
      <c r="I234" s="6">
        <v>1577</v>
      </c>
    </row>
    <row r="235" spans="1:9" x14ac:dyDescent="0.3">
      <c r="A235" s="6" t="s">
        <v>3101</v>
      </c>
      <c r="B235" s="6" t="s">
        <v>2982</v>
      </c>
      <c r="C235" s="13" t="s">
        <v>362</v>
      </c>
      <c r="D235" s="6">
        <v>1</v>
      </c>
      <c r="E235" s="6">
        <v>1E-3</v>
      </c>
      <c r="F235" s="6">
        <v>3.0000000000000001E-3</v>
      </c>
      <c r="G235" s="6">
        <v>0.22600000000000001</v>
      </c>
      <c r="H235" s="13">
        <f t="shared" si="3"/>
        <v>1971.25</v>
      </c>
      <c r="I235" s="6">
        <v>1577</v>
      </c>
    </row>
    <row r="236" spans="1:9" x14ac:dyDescent="0.3">
      <c r="A236" s="6" t="s">
        <v>1359</v>
      </c>
      <c r="B236" s="6" t="s">
        <v>266</v>
      </c>
      <c r="C236" s="6" t="s">
        <v>216</v>
      </c>
      <c r="D236" s="6">
        <v>1</v>
      </c>
      <c r="E236" s="6" t="s">
        <v>996</v>
      </c>
      <c r="F236" s="6" t="s">
        <v>1018</v>
      </c>
      <c r="G236" s="6" t="s">
        <v>1202</v>
      </c>
      <c r="H236" s="13">
        <f t="shared" si="3"/>
        <v>178.75</v>
      </c>
      <c r="I236" s="6" t="s">
        <v>1360</v>
      </c>
    </row>
    <row r="237" spans="1:9" x14ac:dyDescent="0.3">
      <c r="A237" s="6" t="s">
        <v>1361</v>
      </c>
      <c r="B237" s="6" t="s">
        <v>266</v>
      </c>
      <c r="C237" s="6" t="s">
        <v>380</v>
      </c>
      <c r="D237" s="6">
        <v>1</v>
      </c>
      <c r="E237" s="6" t="s">
        <v>991</v>
      </c>
      <c r="F237" s="6" t="s">
        <v>1107</v>
      </c>
      <c r="G237" s="6" t="s">
        <v>988</v>
      </c>
      <c r="H237" s="13">
        <f t="shared" si="3"/>
        <v>130</v>
      </c>
      <c r="I237" s="6" t="s">
        <v>1038</v>
      </c>
    </row>
    <row r="238" spans="1:9" x14ac:dyDescent="0.3">
      <c r="A238" s="6" t="s">
        <v>1362</v>
      </c>
      <c r="B238" s="6" t="s">
        <v>268</v>
      </c>
      <c r="C238" s="6" t="s">
        <v>281</v>
      </c>
      <c r="D238" s="6">
        <v>1</v>
      </c>
      <c r="E238" s="6" t="s">
        <v>1249</v>
      </c>
      <c r="F238" s="6" t="s">
        <v>1363</v>
      </c>
      <c r="G238" s="6" t="s">
        <v>1080</v>
      </c>
      <c r="H238" s="13">
        <f t="shared" si="3"/>
        <v>102.5</v>
      </c>
      <c r="I238" s="6" t="s">
        <v>1044</v>
      </c>
    </row>
    <row r="239" spans="1:9" x14ac:dyDescent="0.3">
      <c r="A239" s="6" t="s">
        <v>1364</v>
      </c>
      <c r="B239" s="6" t="s">
        <v>268</v>
      </c>
      <c r="C239" s="6" t="s">
        <v>537</v>
      </c>
      <c r="D239" s="6">
        <v>1</v>
      </c>
      <c r="E239" s="6" t="s">
        <v>1022</v>
      </c>
      <c r="F239" s="6" t="s">
        <v>1263</v>
      </c>
      <c r="G239" s="6" t="s">
        <v>980</v>
      </c>
      <c r="H239" s="13">
        <f t="shared" si="3"/>
        <v>102.5</v>
      </c>
      <c r="I239" s="6" t="s">
        <v>1044</v>
      </c>
    </row>
    <row r="240" spans="1:9" x14ac:dyDescent="0.3">
      <c r="A240" s="6" t="s">
        <v>1365</v>
      </c>
      <c r="B240" s="6" t="s">
        <v>268</v>
      </c>
      <c r="C240" s="6" t="s">
        <v>547</v>
      </c>
      <c r="D240" s="6">
        <v>1</v>
      </c>
      <c r="E240" s="6" t="s">
        <v>1016</v>
      </c>
      <c r="F240" s="6" t="s">
        <v>978</v>
      </c>
      <c r="G240" s="6" t="s">
        <v>991</v>
      </c>
      <c r="H240" s="13">
        <f t="shared" si="3"/>
        <v>102.5</v>
      </c>
      <c r="I240" s="6" t="s">
        <v>1044</v>
      </c>
    </row>
    <row r="241" spans="1:9" x14ac:dyDescent="0.3">
      <c r="A241" s="6" t="s">
        <v>1366</v>
      </c>
      <c r="B241" s="6" t="s">
        <v>268</v>
      </c>
      <c r="C241" s="6" t="s">
        <v>547</v>
      </c>
      <c r="D241" s="6">
        <v>1</v>
      </c>
      <c r="E241" s="6" t="s">
        <v>1016</v>
      </c>
      <c r="F241" s="6" t="s">
        <v>978</v>
      </c>
      <c r="G241" s="6" t="s">
        <v>991</v>
      </c>
      <c r="H241" s="13">
        <f t="shared" si="3"/>
        <v>102.5</v>
      </c>
      <c r="I241" s="6" t="s">
        <v>1044</v>
      </c>
    </row>
    <row r="242" spans="1:9" x14ac:dyDescent="0.3">
      <c r="A242" s="6" t="s">
        <v>1367</v>
      </c>
      <c r="B242" s="6" t="s">
        <v>268</v>
      </c>
      <c r="C242" s="6" t="s">
        <v>688</v>
      </c>
      <c r="D242" s="6">
        <v>1</v>
      </c>
      <c r="E242" s="6" t="s">
        <v>1022</v>
      </c>
      <c r="F242" s="6" t="s">
        <v>1368</v>
      </c>
      <c r="G242" s="6" t="s">
        <v>987</v>
      </c>
      <c r="H242" s="13">
        <f t="shared" si="3"/>
        <v>232.5</v>
      </c>
      <c r="I242" s="6" t="s">
        <v>1369</v>
      </c>
    </row>
    <row r="243" spans="1:9" x14ac:dyDescent="0.3">
      <c r="A243" s="6" t="s">
        <v>1370</v>
      </c>
      <c r="B243" s="6" t="s">
        <v>271</v>
      </c>
      <c r="C243" s="6" t="s">
        <v>392</v>
      </c>
      <c r="D243" s="6">
        <v>1</v>
      </c>
      <c r="E243" s="6" t="s">
        <v>1018</v>
      </c>
      <c r="F243" s="6" t="s">
        <v>1016</v>
      </c>
      <c r="G243" s="6" t="s">
        <v>1027</v>
      </c>
      <c r="H243" s="13">
        <f t="shared" si="3"/>
        <v>155</v>
      </c>
      <c r="I243" s="6" t="s">
        <v>1234</v>
      </c>
    </row>
    <row r="244" spans="1:9" x14ac:dyDescent="0.3">
      <c r="A244" s="6" t="s">
        <v>1371</v>
      </c>
      <c r="B244" s="6" t="s">
        <v>271</v>
      </c>
      <c r="C244" s="6" t="s">
        <v>459</v>
      </c>
      <c r="D244" s="6">
        <v>1</v>
      </c>
      <c r="E244" s="6" t="s">
        <v>980</v>
      </c>
      <c r="F244" s="6" t="s">
        <v>1184</v>
      </c>
      <c r="G244" s="6" t="s">
        <v>1127</v>
      </c>
      <c r="H244" s="13">
        <f t="shared" si="3"/>
        <v>170</v>
      </c>
      <c r="I244" s="6" t="s">
        <v>1120</v>
      </c>
    </row>
    <row r="245" spans="1:9" x14ac:dyDescent="0.3">
      <c r="A245" s="6" t="s">
        <v>1372</v>
      </c>
      <c r="B245" s="6" t="s">
        <v>273</v>
      </c>
      <c r="C245" s="6" t="s">
        <v>375</v>
      </c>
      <c r="D245" s="6">
        <v>1</v>
      </c>
      <c r="E245" s="6" t="s">
        <v>1074</v>
      </c>
      <c r="F245" s="6" t="s">
        <v>1026</v>
      </c>
      <c r="G245" s="6" t="s">
        <v>1011</v>
      </c>
      <c r="H245" s="13">
        <f t="shared" si="3"/>
        <v>123.75</v>
      </c>
      <c r="I245" s="6" t="s">
        <v>981</v>
      </c>
    </row>
    <row r="246" spans="1:9" x14ac:dyDescent="0.3">
      <c r="A246" s="6" t="s">
        <v>1373</v>
      </c>
      <c r="B246" s="6" t="s">
        <v>273</v>
      </c>
      <c r="C246" s="6" t="s">
        <v>441</v>
      </c>
      <c r="D246" s="6">
        <v>1</v>
      </c>
      <c r="E246" s="6" t="s">
        <v>987</v>
      </c>
      <c r="F246" s="6" t="s">
        <v>1092</v>
      </c>
      <c r="G246" s="6" t="s">
        <v>1018</v>
      </c>
      <c r="H246" s="13">
        <f t="shared" si="3"/>
        <v>222.5</v>
      </c>
      <c r="I246" s="6" t="s">
        <v>989</v>
      </c>
    </row>
    <row r="247" spans="1:9" x14ac:dyDescent="0.3">
      <c r="A247" s="6" t="s">
        <v>1374</v>
      </c>
      <c r="B247" s="6" t="s">
        <v>275</v>
      </c>
      <c r="C247" s="6" t="s">
        <v>68</v>
      </c>
      <c r="D247" s="6">
        <v>1</v>
      </c>
      <c r="E247" s="6" t="s">
        <v>1107</v>
      </c>
      <c r="F247" s="6" t="s">
        <v>1089</v>
      </c>
      <c r="G247" s="6" t="s">
        <v>987</v>
      </c>
      <c r="H247" s="13">
        <f t="shared" si="3"/>
        <v>222.5</v>
      </c>
      <c r="I247" s="6" t="s">
        <v>989</v>
      </c>
    </row>
    <row r="248" spans="1:9" x14ac:dyDescent="0.3">
      <c r="A248" s="6" t="s">
        <v>1375</v>
      </c>
      <c r="B248" s="6" t="s">
        <v>275</v>
      </c>
      <c r="C248" s="6" t="s">
        <v>387</v>
      </c>
      <c r="D248" s="6">
        <v>1</v>
      </c>
      <c r="E248" s="6" t="s">
        <v>1015</v>
      </c>
      <c r="F248" s="6" t="s">
        <v>985</v>
      </c>
      <c r="G248" s="6" t="s">
        <v>996</v>
      </c>
      <c r="H248" s="13">
        <f t="shared" si="3"/>
        <v>123.75</v>
      </c>
      <c r="I248" s="6" t="s">
        <v>981</v>
      </c>
    </row>
    <row r="249" spans="1:9" x14ac:dyDescent="0.3">
      <c r="A249" s="6" t="s">
        <v>1376</v>
      </c>
      <c r="B249" s="6" t="s">
        <v>275</v>
      </c>
      <c r="C249" s="6" t="s">
        <v>387</v>
      </c>
      <c r="D249" s="6">
        <v>1</v>
      </c>
      <c r="E249" s="6" t="s">
        <v>1015</v>
      </c>
      <c r="F249" s="6" t="s">
        <v>1016</v>
      </c>
      <c r="G249" s="6" t="s">
        <v>996</v>
      </c>
      <c r="H249" s="13">
        <f t="shared" si="3"/>
        <v>123.75</v>
      </c>
      <c r="I249" s="6" t="s">
        <v>981</v>
      </c>
    </row>
    <row r="250" spans="1:9" x14ac:dyDescent="0.3">
      <c r="A250" s="6" t="s">
        <v>1377</v>
      </c>
      <c r="B250" s="6" t="s">
        <v>277</v>
      </c>
      <c r="C250" s="6" t="s">
        <v>636</v>
      </c>
      <c r="D250" s="6">
        <v>1</v>
      </c>
      <c r="E250" s="6" t="s">
        <v>1018</v>
      </c>
      <c r="F250" s="6" t="s">
        <v>1061</v>
      </c>
      <c r="G250" s="6" t="s">
        <v>996</v>
      </c>
      <c r="H250" s="13">
        <f t="shared" si="3"/>
        <v>131.25</v>
      </c>
      <c r="I250" s="6" t="s">
        <v>1031</v>
      </c>
    </row>
    <row r="251" spans="1:9" x14ac:dyDescent="0.3">
      <c r="A251" s="6" t="s">
        <v>1378</v>
      </c>
      <c r="B251" s="6" t="s">
        <v>277</v>
      </c>
      <c r="C251" s="6" t="s">
        <v>636</v>
      </c>
      <c r="D251" s="6">
        <v>1</v>
      </c>
      <c r="E251" s="6" t="s">
        <v>991</v>
      </c>
      <c r="F251" s="6" t="s">
        <v>1061</v>
      </c>
      <c r="G251" s="6" t="s">
        <v>996</v>
      </c>
      <c r="H251" s="13">
        <f t="shared" si="3"/>
        <v>131.25</v>
      </c>
      <c r="I251" s="6" t="s">
        <v>1031</v>
      </c>
    </row>
    <row r="252" spans="1:9" x14ac:dyDescent="0.3">
      <c r="A252" s="6" t="s">
        <v>1379</v>
      </c>
      <c r="B252" s="6" t="s">
        <v>277</v>
      </c>
      <c r="C252" s="6" t="s">
        <v>667</v>
      </c>
      <c r="D252" s="6">
        <v>1</v>
      </c>
      <c r="E252" s="6" t="s">
        <v>1051</v>
      </c>
      <c r="F252" s="6" t="s">
        <v>1022</v>
      </c>
      <c r="G252" s="6" t="s">
        <v>991</v>
      </c>
      <c r="H252" s="13">
        <f t="shared" si="3"/>
        <v>123.75</v>
      </c>
      <c r="I252" s="6" t="s">
        <v>981</v>
      </c>
    </row>
    <row r="253" spans="1:9" x14ac:dyDescent="0.3">
      <c r="A253" s="6" t="s">
        <v>1380</v>
      </c>
      <c r="B253" s="6" t="s">
        <v>277</v>
      </c>
      <c r="C253" s="6" t="s">
        <v>799</v>
      </c>
      <c r="D253" s="6">
        <v>1</v>
      </c>
      <c r="E253" s="6" t="s">
        <v>978</v>
      </c>
      <c r="F253" s="6" t="s">
        <v>1116</v>
      </c>
      <c r="G253" s="6" t="s">
        <v>980</v>
      </c>
      <c r="H253" s="13">
        <f t="shared" si="3"/>
        <v>123.75</v>
      </c>
      <c r="I253" s="6" t="s">
        <v>981</v>
      </c>
    </row>
    <row r="254" spans="1:9" x14ac:dyDescent="0.3">
      <c r="A254" s="6" t="s">
        <v>1381</v>
      </c>
      <c r="B254" s="6" t="s">
        <v>279</v>
      </c>
      <c r="C254" s="6" t="s">
        <v>239</v>
      </c>
      <c r="D254" s="6">
        <v>1</v>
      </c>
      <c r="E254" s="6" t="s">
        <v>1000</v>
      </c>
      <c r="F254" s="6" t="s">
        <v>1018</v>
      </c>
      <c r="G254" s="6" t="s">
        <v>1019</v>
      </c>
      <c r="H254" s="13">
        <f t="shared" si="3"/>
        <v>125</v>
      </c>
      <c r="I254" s="6" t="s">
        <v>1382</v>
      </c>
    </row>
    <row r="255" spans="1:9" x14ac:dyDescent="0.3">
      <c r="A255" s="6" t="s">
        <v>1383</v>
      </c>
      <c r="B255" s="6" t="s">
        <v>279</v>
      </c>
      <c r="C255" s="6" t="s">
        <v>773</v>
      </c>
      <c r="D255" s="6">
        <v>1</v>
      </c>
      <c r="E255" s="6" t="s">
        <v>991</v>
      </c>
      <c r="F255" s="6" t="s">
        <v>980</v>
      </c>
      <c r="G255" s="6" t="s">
        <v>1154</v>
      </c>
      <c r="H255" s="13">
        <f t="shared" si="3"/>
        <v>125</v>
      </c>
      <c r="I255" s="6" t="s">
        <v>1382</v>
      </c>
    </row>
    <row r="256" spans="1:9" x14ac:dyDescent="0.3">
      <c r="A256" s="6" t="s">
        <v>3102</v>
      </c>
      <c r="B256" s="6" t="s">
        <v>281</v>
      </c>
      <c r="C256" s="6" t="s">
        <v>2986</v>
      </c>
      <c r="D256" s="6">
        <v>1</v>
      </c>
      <c r="E256" s="6">
        <v>1E-3</v>
      </c>
      <c r="F256" s="6">
        <v>3.0000000000000001E-3</v>
      </c>
      <c r="G256" s="6">
        <v>8.6999999999999994E-2</v>
      </c>
      <c r="H256" s="13">
        <f t="shared" si="3"/>
        <v>250</v>
      </c>
      <c r="I256" s="6">
        <v>200</v>
      </c>
    </row>
    <row r="257" spans="1:9" x14ac:dyDescent="0.3">
      <c r="A257" s="6" t="s">
        <v>1384</v>
      </c>
      <c r="B257" s="6" t="s">
        <v>281</v>
      </c>
      <c r="C257" s="6" t="s">
        <v>496</v>
      </c>
      <c r="D257" s="6">
        <v>1</v>
      </c>
      <c r="E257" s="6" t="s">
        <v>1016</v>
      </c>
      <c r="F257" s="6" t="s">
        <v>983</v>
      </c>
      <c r="G257" s="6" t="s">
        <v>1015</v>
      </c>
      <c r="H257" s="13">
        <f t="shared" si="3"/>
        <v>178.75</v>
      </c>
      <c r="I257" s="6" t="s">
        <v>1360</v>
      </c>
    </row>
    <row r="258" spans="1:9" x14ac:dyDescent="0.3">
      <c r="A258" s="6" t="s">
        <v>1385</v>
      </c>
      <c r="B258" s="6" t="s">
        <v>281</v>
      </c>
      <c r="C258" s="6" t="s">
        <v>537</v>
      </c>
      <c r="D258" s="6">
        <v>1</v>
      </c>
      <c r="E258" s="6" t="s">
        <v>1025</v>
      </c>
      <c r="F258" s="6" t="s">
        <v>1386</v>
      </c>
      <c r="G258" s="6" t="s">
        <v>1051</v>
      </c>
      <c r="H258" s="13">
        <f t="shared" si="3"/>
        <v>102.5</v>
      </c>
      <c r="I258" s="6" t="s">
        <v>1044</v>
      </c>
    </row>
    <row r="259" spans="1:9" x14ac:dyDescent="0.3">
      <c r="A259" s="6" t="s">
        <v>1387</v>
      </c>
      <c r="B259" s="6" t="s">
        <v>281</v>
      </c>
      <c r="C259" s="6" t="s">
        <v>544</v>
      </c>
      <c r="D259" s="6">
        <v>1</v>
      </c>
      <c r="E259" s="6" t="s">
        <v>985</v>
      </c>
      <c r="F259" s="6" t="s">
        <v>1043</v>
      </c>
      <c r="G259" s="6" t="s">
        <v>991</v>
      </c>
      <c r="H259" s="13">
        <f t="shared" ref="H259:H322" si="4">I259*1.25</f>
        <v>102.5</v>
      </c>
      <c r="I259" s="6" t="s">
        <v>1044</v>
      </c>
    </row>
    <row r="260" spans="1:9" x14ac:dyDescent="0.3">
      <c r="A260" s="6" t="s">
        <v>1388</v>
      </c>
      <c r="B260" s="6" t="s">
        <v>281</v>
      </c>
      <c r="C260" s="6" t="s">
        <v>544</v>
      </c>
      <c r="D260" s="6">
        <v>1</v>
      </c>
      <c r="E260" s="6" t="s">
        <v>985</v>
      </c>
      <c r="F260" s="6" t="s">
        <v>1043</v>
      </c>
      <c r="G260" s="6" t="s">
        <v>991</v>
      </c>
      <c r="H260" s="13">
        <f t="shared" si="4"/>
        <v>102.5</v>
      </c>
      <c r="I260" s="6" t="s">
        <v>1044</v>
      </c>
    </row>
    <row r="261" spans="1:9" x14ac:dyDescent="0.3">
      <c r="A261" s="6" t="s">
        <v>1389</v>
      </c>
      <c r="B261" s="6" t="s">
        <v>283</v>
      </c>
      <c r="C261" s="6" t="s">
        <v>566</v>
      </c>
      <c r="D261" s="6">
        <v>1</v>
      </c>
      <c r="E261" s="6" t="s">
        <v>980</v>
      </c>
      <c r="F261" s="6" t="s">
        <v>1019</v>
      </c>
      <c r="G261" s="6" t="s">
        <v>1390</v>
      </c>
      <c r="H261" s="13">
        <f t="shared" si="4"/>
        <v>515</v>
      </c>
      <c r="I261" s="6" t="s">
        <v>1391</v>
      </c>
    </row>
    <row r="262" spans="1:9" x14ac:dyDescent="0.3">
      <c r="A262" s="6" t="s">
        <v>1392</v>
      </c>
      <c r="B262" s="6" t="s">
        <v>283</v>
      </c>
      <c r="C262" s="6" t="s">
        <v>566</v>
      </c>
      <c r="D262" s="6">
        <v>1</v>
      </c>
      <c r="E262" s="6" t="s">
        <v>980</v>
      </c>
      <c r="F262" s="6" t="s">
        <v>1019</v>
      </c>
      <c r="G262" s="6" t="s">
        <v>1390</v>
      </c>
      <c r="H262" s="13">
        <f t="shared" si="4"/>
        <v>515</v>
      </c>
      <c r="I262" s="6" t="s">
        <v>1391</v>
      </c>
    </row>
    <row r="263" spans="1:9" x14ac:dyDescent="0.3">
      <c r="A263" s="6" t="s">
        <v>1393</v>
      </c>
      <c r="B263" s="6" t="s">
        <v>281</v>
      </c>
      <c r="C263" s="6" t="s">
        <v>729</v>
      </c>
      <c r="D263" s="6">
        <v>1</v>
      </c>
      <c r="E263" s="6" t="s">
        <v>1016</v>
      </c>
      <c r="F263" s="6" t="s">
        <v>1127</v>
      </c>
      <c r="G263" s="6" t="s">
        <v>985</v>
      </c>
      <c r="H263" s="13">
        <f t="shared" si="4"/>
        <v>102.5</v>
      </c>
      <c r="I263" s="6" t="s">
        <v>1044</v>
      </c>
    </row>
    <row r="264" spans="1:9" x14ac:dyDescent="0.3">
      <c r="A264" s="6" t="s">
        <v>1394</v>
      </c>
      <c r="B264" s="6" t="s">
        <v>281</v>
      </c>
      <c r="C264" s="6" t="s">
        <v>729</v>
      </c>
      <c r="D264" s="6">
        <v>1</v>
      </c>
      <c r="E264" s="6" t="s">
        <v>1016</v>
      </c>
      <c r="F264" s="6" t="s">
        <v>1127</v>
      </c>
      <c r="G264" s="6" t="s">
        <v>1107</v>
      </c>
      <c r="H264" s="13">
        <f t="shared" si="4"/>
        <v>102.5</v>
      </c>
      <c r="I264" s="6" t="s">
        <v>1044</v>
      </c>
    </row>
    <row r="265" spans="1:9" x14ac:dyDescent="0.3">
      <c r="A265" s="6" t="s">
        <v>1395</v>
      </c>
      <c r="B265" s="6" t="s">
        <v>281</v>
      </c>
      <c r="C265" s="6" t="s">
        <v>738</v>
      </c>
      <c r="D265" s="6">
        <v>1</v>
      </c>
      <c r="E265" s="6" t="s">
        <v>1261</v>
      </c>
      <c r="F265" s="6" t="s">
        <v>1139</v>
      </c>
      <c r="G265" s="6" t="s">
        <v>992</v>
      </c>
      <c r="H265" s="13">
        <f t="shared" si="4"/>
        <v>136.25</v>
      </c>
      <c r="I265" s="6" t="s">
        <v>1028</v>
      </c>
    </row>
    <row r="266" spans="1:9" x14ac:dyDescent="0.3">
      <c r="A266" s="6" t="s">
        <v>1396</v>
      </c>
      <c r="B266" s="6" t="s">
        <v>286</v>
      </c>
      <c r="C266" s="6" t="s">
        <v>561</v>
      </c>
      <c r="D266" s="6">
        <v>1</v>
      </c>
      <c r="E266" s="6" t="s">
        <v>1018</v>
      </c>
      <c r="F266" s="6" t="s">
        <v>1004</v>
      </c>
      <c r="G266" s="6" t="s">
        <v>1018</v>
      </c>
      <c r="H266" s="13">
        <f t="shared" si="4"/>
        <v>222.5</v>
      </c>
      <c r="I266" s="6" t="s">
        <v>989</v>
      </c>
    </row>
    <row r="267" spans="1:9" x14ac:dyDescent="0.3">
      <c r="A267" s="6" t="s">
        <v>1397</v>
      </c>
      <c r="B267" s="6" t="s">
        <v>286</v>
      </c>
      <c r="C267" s="6" t="s">
        <v>797</v>
      </c>
      <c r="D267" s="6">
        <v>1</v>
      </c>
      <c r="E267" s="6" t="s">
        <v>1022</v>
      </c>
      <c r="F267" s="6" t="s">
        <v>1081</v>
      </c>
      <c r="G267" s="6" t="s">
        <v>1061</v>
      </c>
      <c r="H267" s="13">
        <f t="shared" si="4"/>
        <v>123.75</v>
      </c>
      <c r="I267" s="6" t="s">
        <v>981</v>
      </c>
    </row>
    <row r="268" spans="1:9" x14ac:dyDescent="0.3">
      <c r="A268" s="6" t="s">
        <v>1398</v>
      </c>
      <c r="B268" s="6" t="s">
        <v>291</v>
      </c>
      <c r="C268" s="6" t="s">
        <v>470</v>
      </c>
      <c r="D268" s="6">
        <v>1</v>
      </c>
      <c r="E268" s="6" t="s">
        <v>1127</v>
      </c>
      <c r="F268" s="6" t="s">
        <v>1142</v>
      </c>
      <c r="G268" s="6" t="s">
        <v>1107</v>
      </c>
      <c r="H268" s="13">
        <f t="shared" si="4"/>
        <v>102.5</v>
      </c>
      <c r="I268" s="6" t="s">
        <v>1044</v>
      </c>
    </row>
    <row r="269" spans="1:9" x14ac:dyDescent="0.3">
      <c r="A269" s="6" t="s">
        <v>1399</v>
      </c>
      <c r="B269" s="6" t="s">
        <v>291</v>
      </c>
      <c r="C269" s="6" t="s">
        <v>768</v>
      </c>
      <c r="D269" s="6">
        <v>1</v>
      </c>
      <c r="E269" s="6" t="s">
        <v>1124</v>
      </c>
      <c r="F269" s="6" t="s">
        <v>1400</v>
      </c>
      <c r="G269" s="6" t="s">
        <v>1004</v>
      </c>
      <c r="H269" s="13">
        <f t="shared" si="4"/>
        <v>136.25</v>
      </c>
      <c r="I269" s="6" t="s">
        <v>1028</v>
      </c>
    </row>
    <row r="270" spans="1:9" x14ac:dyDescent="0.3">
      <c r="A270" s="6" t="s">
        <v>1401</v>
      </c>
      <c r="B270" s="6" t="s">
        <v>294</v>
      </c>
      <c r="C270" s="6" t="s">
        <v>483</v>
      </c>
      <c r="D270" s="6">
        <v>1</v>
      </c>
      <c r="E270" s="6" t="s">
        <v>996</v>
      </c>
      <c r="F270" s="6" t="s">
        <v>1000</v>
      </c>
      <c r="G270" s="6" t="s">
        <v>1070</v>
      </c>
      <c r="H270" s="13">
        <f t="shared" si="4"/>
        <v>175</v>
      </c>
      <c r="I270" s="6" t="s">
        <v>1020</v>
      </c>
    </row>
    <row r="271" spans="1:9" x14ac:dyDescent="0.3">
      <c r="A271" s="6" t="s">
        <v>1402</v>
      </c>
      <c r="B271" s="6" t="s">
        <v>294</v>
      </c>
      <c r="C271" s="6" t="s">
        <v>483</v>
      </c>
      <c r="D271" s="6">
        <v>1</v>
      </c>
      <c r="E271" s="6" t="s">
        <v>996</v>
      </c>
      <c r="F271" s="6" t="s">
        <v>1000</v>
      </c>
      <c r="G271" s="6" t="s">
        <v>1070</v>
      </c>
      <c r="H271" s="13">
        <f t="shared" si="4"/>
        <v>175</v>
      </c>
      <c r="I271" s="6" t="s">
        <v>1020</v>
      </c>
    </row>
    <row r="272" spans="1:9" x14ac:dyDescent="0.3">
      <c r="A272" s="6" t="s">
        <v>1403</v>
      </c>
      <c r="B272" s="6" t="s">
        <v>296</v>
      </c>
      <c r="C272" s="6" t="s">
        <v>453</v>
      </c>
      <c r="D272" s="6">
        <v>1</v>
      </c>
      <c r="E272" s="6" t="s">
        <v>1018</v>
      </c>
      <c r="F272" s="6" t="s">
        <v>1051</v>
      </c>
      <c r="G272" s="6" t="s">
        <v>996</v>
      </c>
      <c r="H272" s="13">
        <f t="shared" si="4"/>
        <v>245</v>
      </c>
      <c r="I272" s="6" t="s">
        <v>1132</v>
      </c>
    </row>
    <row r="273" spans="1:9" x14ac:dyDescent="0.3">
      <c r="A273" s="6" t="s">
        <v>1404</v>
      </c>
      <c r="B273" s="6" t="s">
        <v>296</v>
      </c>
      <c r="C273" s="6" t="s">
        <v>465</v>
      </c>
      <c r="D273" s="6">
        <v>1</v>
      </c>
      <c r="E273" s="6" t="s">
        <v>1202</v>
      </c>
      <c r="F273" s="6" t="s">
        <v>1118</v>
      </c>
      <c r="G273" s="6" t="s">
        <v>1184</v>
      </c>
      <c r="H273" s="13">
        <f t="shared" si="4"/>
        <v>222.5</v>
      </c>
      <c r="I273" s="6" t="s">
        <v>989</v>
      </c>
    </row>
    <row r="274" spans="1:9" x14ac:dyDescent="0.3">
      <c r="A274" s="6" t="s">
        <v>1405</v>
      </c>
      <c r="B274" s="6" t="s">
        <v>300</v>
      </c>
      <c r="C274" s="6" t="s">
        <v>257</v>
      </c>
      <c r="D274" s="6">
        <v>1</v>
      </c>
      <c r="E274" s="6" t="s">
        <v>1070</v>
      </c>
      <c r="F274" s="6" t="s">
        <v>1406</v>
      </c>
      <c r="G274" s="6" t="s">
        <v>1061</v>
      </c>
      <c r="H274" s="13">
        <f t="shared" si="4"/>
        <v>222.5</v>
      </c>
      <c r="I274" s="6" t="s">
        <v>989</v>
      </c>
    </row>
    <row r="275" spans="1:9" x14ac:dyDescent="0.3">
      <c r="A275" s="6" t="s">
        <v>1407</v>
      </c>
      <c r="B275" s="6" t="s">
        <v>300</v>
      </c>
      <c r="C275" s="6" t="s">
        <v>338</v>
      </c>
      <c r="D275" s="6">
        <v>1</v>
      </c>
      <c r="E275" s="6" t="s">
        <v>1131</v>
      </c>
      <c r="F275" s="6" t="s">
        <v>1408</v>
      </c>
      <c r="G275" s="6" t="s">
        <v>1202</v>
      </c>
      <c r="H275" s="13">
        <f t="shared" si="4"/>
        <v>123.75</v>
      </c>
      <c r="I275" s="6" t="s">
        <v>981</v>
      </c>
    </row>
    <row r="276" spans="1:9" x14ac:dyDescent="0.3">
      <c r="A276" s="6" t="s">
        <v>1409</v>
      </c>
      <c r="B276" s="6" t="s">
        <v>300</v>
      </c>
      <c r="C276" s="6" t="s">
        <v>373</v>
      </c>
      <c r="D276" s="6">
        <v>1</v>
      </c>
      <c r="E276" s="6" t="s">
        <v>1005</v>
      </c>
      <c r="F276" s="6" t="s">
        <v>1410</v>
      </c>
      <c r="G276" s="6" t="s">
        <v>1027</v>
      </c>
      <c r="H276" s="13">
        <f t="shared" si="4"/>
        <v>222.5</v>
      </c>
      <c r="I276" s="6" t="s">
        <v>989</v>
      </c>
    </row>
    <row r="277" spans="1:9" x14ac:dyDescent="0.3">
      <c r="A277" s="6" t="s">
        <v>1411</v>
      </c>
      <c r="B277" s="6" t="s">
        <v>302</v>
      </c>
      <c r="C277" s="6" t="s">
        <v>389</v>
      </c>
      <c r="D277" s="6">
        <v>1</v>
      </c>
      <c r="E277" s="6" t="s">
        <v>1051</v>
      </c>
      <c r="F277" s="6" t="s">
        <v>1081</v>
      </c>
      <c r="G277" s="6" t="s">
        <v>1412</v>
      </c>
      <c r="H277" s="13">
        <f t="shared" si="4"/>
        <v>437.5</v>
      </c>
      <c r="I277" s="6" t="s">
        <v>1413</v>
      </c>
    </row>
    <row r="278" spans="1:9" x14ac:dyDescent="0.3">
      <c r="A278" s="6" t="s">
        <v>1414</v>
      </c>
      <c r="B278" s="6" t="s">
        <v>300</v>
      </c>
      <c r="C278" s="6" t="s">
        <v>395</v>
      </c>
      <c r="D278" s="6">
        <v>1</v>
      </c>
      <c r="E278" s="6" t="s">
        <v>1004</v>
      </c>
      <c r="F278" s="6" t="s">
        <v>983</v>
      </c>
      <c r="G278" s="6" t="s">
        <v>1018</v>
      </c>
      <c r="H278" s="13">
        <f t="shared" si="4"/>
        <v>123.75</v>
      </c>
      <c r="I278" s="6" t="s">
        <v>981</v>
      </c>
    </row>
    <row r="279" spans="1:9" x14ac:dyDescent="0.3">
      <c r="A279" s="6" t="s">
        <v>1415</v>
      </c>
      <c r="B279" s="6" t="s">
        <v>300</v>
      </c>
      <c r="C279" s="6" t="s">
        <v>395</v>
      </c>
      <c r="D279" s="6">
        <v>1</v>
      </c>
      <c r="E279" s="6" t="s">
        <v>1261</v>
      </c>
      <c r="F279" s="6" t="s">
        <v>1025</v>
      </c>
      <c r="G279" s="6" t="s">
        <v>1018</v>
      </c>
      <c r="H279" s="13">
        <f t="shared" si="4"/>
        <v>123.75</v>
      </c>
      <c r="I279" s="6" t="s">
        <v>981</v>
      </c>
    </row>
    <row r="280" spans="1:9" x14ac:dyDescent="0.3">
      <c r="A280" s="6" t="s">
        <v>1416</v>
      </c>
      <c r="B280" s="6" t="s">
        <v>300</v>
      </c>
      <c r="C280" s="6" t="s">
        <v>395</v>
      </c>
      <c r="D280" s="6">
        <v>1</v>
      </c>
      <c r="E280" s="6" t="s">
        <v>1261</v>
      </c>
      <c r="F280" s="6" t="s">
        <v>1025</v>
      </c>
      <c r="G280" s="6" t="s">
        <v>1018</v>
      </c>
      <c r="H280" s="13">
        <f t="shared" si="4"/>
        <v>123.75</v>
      </c>
      <c r="I280" s="6" t="s">
        <v>981</v>
      </c>
    </row>
    <row r="281" spans="1:9" x14ac:dyDescent="0.3">
      <c r="A281" s="6" t="s">
        <v>1417</v>
      </c>
      <c r="B281" s="6" t="s">
        <v>302</v>
      </c>
      <c r="C281" s="6" t="s">
        <v>662</v>
      </c>
      <c r="D281" s="6">
        <v>1</v>
      </c>
      <c r="E281" s="6" t="s">
        <v>1051</v>
      </c>
      <c r="F281" s="6" t="s">
        <v>1142</v>
      </c>
      <c r="G281" s="6" t="s">
        <v>1135</v>
      </c>
      <c r="H281" s="13">
        <f t="shared" si="4"/>
        <v>490</v>
      </c>
      <c r="I281" s="6" t="s">
        <v>1418</v>
      </c>
    </row>
    <row r="282" spans="1:9" x14ac:dyDescent="0.3">
      <c r="A282" s="6" t="s">
        <v>1419</v>
      </c>
      <c r="B282" s="6" t="s">
        <v>300</v>
      </c>
      <c r="C282" s="6" t="s">
        <v>696</v>
      </c>
      <c r="D282" s="6">
        <v>1</v>
      </c>
      <c r="E282" s="6" t="s">
        <v>1022</v>
      </c>
      <c r="F282" s="6" t="s">
        <v>1406</v>
      </c>
      <c r="G282" s="6" t="s">
        <v>1036</v>
      </c>
      <c r="H282" s="13">
        <f t="shared" si="4"/>
        <v>121.25</v>
      </c>
      <c r="I282" s="6" t="s">
        <v>1420</v>
      </c>
    </row>
    <row r="283" spans="1:9" x14ac:dyDescent="0.3">
      <c r="A283" s="6" t="s">
        <v>1421</v>
      </c>
      <c r="B283" s="6" t="s">
        <v>300</v>
      </c>
      <c r="C283" s="6" t="s">
        <v>723</v>
      </c>
      <c r="D283" s="6">
        <v>1</v>
      </c>
      <c r="E283" s="6" t="s">
        <v>1271</v>
      </c>
      <c r="F283" s="6" t="s">
        <v>1422</v>
      </c>
      <c r="G283" s="6" t="s">
        <v>1184</v>
      </c>
      <c r="H283" s="13">
        <f t="shared" si="4"/>
        <v>123.75</v>
      </c>
      <c r="I283" s="6" t="s">
        <v>981</v>
      </c>
    </row>
    <row r="284" spans="1:9" x14ac:dyDescent="0.3">
      <c r="A284" s="6" t="s">
        <v>1423</v>
      </c>
      <c r="B284" s="6" t="s">
        <v>302</v>
      </c>
      <c r="C284" s="6" t="s">
        <v>787</v>
      </c>
      <c r="D284" s="6">
        <v>1</v>
      </c>
      <c r="E284" s="6" t="s">
        <v>1015</v>
      </c>
      <c r="F284" s="6" t="s">
        <v>1005</v>
      </c>
      <c r="G284" s="6" t="s">
        <v>1188</v>
      </c>
      <c r="H284" s="13">
        <f t="shared" si="4"/>
        <v>951.25</v>
      </c>
      <c r="I284" s="6" t="s">
        <v>1277</v>
      </c>
    </row>
    <row r="285" spans="1:9" x14ac:dyDescent="0.3">
      <c r="A285" s="6" t="s">
        <v>1424</v>
      </c>
      <c r="B285" s="6" t="s">
        <v>305</v>
      </c>
      <c r="C285" s="6" t="s">
        <v>763</v>
      </c>
      <c r="D285" s="6">
        <v>1</v>
      </c>
      <c r="E285" s="6" t="s">
        <v>1061</v>
      </c>
      <c r="F285" s="6" t="s">
        <v>1169</v>
      </c>
      <c r="G285" s="6" t="s">
        <v>1015</v>
      </c>
      <c r="H285" s="13">
        <f t="shared" si="4"/>
        <v>222.5</v>
      </c>
      <c r="I285" s="6" t="s">
        <v>989</v>
      </c>
    </row>
    <row r="286" spans="1:9" x14ac:dyDescent="0.3">
      <c r="A286" s="6" t="s">
        <v>1425</v>
      </c>
      <c r="B286" s="6" t="s">
        <v>307</v>
      </c>
      <c r="C286" s="6" t="s">
        <v>392</v>
      </c>
      <c r="D286" s="6">
        <v>1</v>
      </c>
      <c r="E286" s="6" t="s">
        <v>996</v>
      </c>
      <c r="F286" s="6" t="s">
        <v>996</v>
      </c>
      <c r="G286" s="6" t="s">
        <v>1261</v>
      </c>
      <c r="H286" s="13">
        <f t="shared" si="4"/>
        <v>155</v>
      </c>
      <c r="I286" s="6" t="s">
        <v>1234</v>
      </c>
    </row>
    <row r="287" spans="1:9" x14ac:dyDescent="0.3">
      <c r="A287" s="6" t="s">
        <v>1426</v>
      </c>
      <c r="B287" s="6" t="s">
        <v>307</v>
      </c>
      <c r="C287" s="6" t="s">
        <v>459</v>
      </c>
      <c r="D287" s="6">
        <v>1</v>
      </c>
      <c r="E287" s="6" t="s">
        <v>1016</v>
      </c>
      <c r="F287" s="6" t="s">
        <v>1043</v>
      </c>
      <c r="G287" s="6" t="s">
        <v>991</v>
      </c>
      <c r="H287" s="13">
        <f t="shared" si="4"/>
        <v>128.75</v>
      </c>
      <c r="I287" s="6" t="s">
        <v>1023</v>
      </c>
    </row>
    <row r="288" spans="1:9" x14ac:dyDescent="0.3">
      <c r="A288" s="6" t="s">
        <v>1427</v>
      </c>
      <c r="B288" s="6" t="s">
        <v>309</v>
      </c>
      <c r="C288" s="6" t="s">
        <v>335</v>
      </c>
      <c r="D288" s="6">
        <v>1</v>
      </c>
      <c r="E288" s="6" t="s">
        <v>1004</v>
      </c>
      <c r="F288" s="6" t="s">
        <v>1324</v>
      </c>
      <c r="G288" s="6" t="s">
        <v>1202</v>
      </c>
      <c r="H288" s="13">
        <f t="shared" si="4"/>
        <v>222.5</v>
      </c>
      <c r="I288" s="6" t="s">
        <v>989</v>
      </c>
    </row>
    <row r="289" spans="1:9" x14ac:dyDescent="0.3">
      <c r="A289" s="6" t="s">
        <v>1428</v>
      </c>
      <c r="B289" s="6" t="s">
        <v>311</v>
      </c>
      <c r="C289" s="6" t="s">
        <v>405</v>
      </c>
      <c r="D289" s="6">
        <v>1</v>
      </c>
      <c r="E289" s="6" t="s">
        <v>991</v>
      </c>
      <c r="F289" s="6" t="s">
        <v>1202</v>
      </c>
      <c r="G289" s="6" t="s">
        <v>1149</v>
      </c>
      <c r="H289" s="13">
        <f t="shared" si="4"/>
        <v>932.5</v>
      </c>
      <c r="I289" s="6" t="s">
        <v>1429</v>
      </c>
    </row>
    <row r="290" spans="1:9" x14ac:dyDescent="0.3">
      <c r="A290" s="6" t="s">
        <v>1430</v>
      </c>
      <c r="B290" s="6" t="s">
        <v>311</v>
      </c>
      <c r="C290" s="6" t="s">
        <v>514</v>
      </c>
      <c r="D290" s="6">
        <v>1</v>
      </c>
      <c r="E290" s="6" t="s">
        <v>985</v>
      </c>
      <c r="F290" s="6" t="s">
        <v>1406</v>
      </c>
      <c r="G290" s="6" t="s">
        <v>1431</v>
      </c>
      <c r="H290" s="13">
        <f t="shared" si="4"/>
        <v>807.5</v>
      </c>
      <c r="I290" s="6" t="s">
        <v>1340</v>
      </c>
    </row>
    <row r="291" spans="1:9" x14ac:dyDescent="0.3">
      <c r="A291" s="6" t="s">
        <v>1432</v>
      </c>
      <c r="B291" s="6" t="s">
        <v>309</v>
      </c>
      <c r="C291" s="6" t="s">
        <v>794</v>
      </c>
      <c r="D291" s="6">
        <v>1</v>
      </c>
      <c r="E291" s="6" t="s">
        <v>987</v>
      </c>
      <c r="F291" s="6" t="s">
        <v>1043</v>
      </c>
      <c r="G291" s="6" t="s">
        <v>1064</v>
      </c>
      <c r="H291" s="13">
        <f t="shared" si="4"/>
        <v>222.5</v>
      </c>
      <c r="I291" s="6" t="s">
        <v>989</v>
      </c>
    </row>
    <row r="292" spans="1:9" x14ac:dyDescent="0.3">
      <c r="A292" s="6" t="s">
        <v>3103</v>
      </c>
      <c r="B292" s="6" t="s">
        <v>309</v>
      </c>
      <c r="C292" s="6" t="s">
        <v>693</v>
      </c>
      <c r="D292" s="6">
        <v>1</v>
      </c>
      <c r="E292" s="6">
        <v>1.2E-2</v>
      </c>
      <c r="F292" s="6">
        <v>6.2E-2</v>
      </c>
      <c r="G292" s="6">
        <v>7.0000000000000001E-3</v>
      </c>
      <c r="H292" s="13">
        <f t="shared" si="4"/>
        <v>222.5</v>
      </c>
      <c r="I292" s="6">
        <v>178</v>
      </c>
    </row>
    <row r="293" spans="1:9" x14ac:dyDescent="0.3">
      <c r="A293" s="6" t="s">
        <v>1433</v>
      </c>
      <c r="B293" s="6" t="s">
        <v>313</v>
      </c>
      <c r="C293" s="6" t="s">
        <v>416</v>
      </c>
      <c r="D293" s="6">
        <v>1</v>
      </c>
      <c r="E293" s="6" t="s">
        <v>1025</v>
      </c>
      <c r="F293" s="6" t="s">
        <v>1355</v>
      </c>
      <c r="G293" s="6" t="s">
        <v>1011</v>
      </c>
      <c r="H293" s="13">
        <f t="shared" si="4"/>
        <v>222.5</v>
      </c>
      <c r="I293" s="6" t="s">
        <v>989</v>
      </c>
    </row>
    <row r="294" spans="1:9" x14ac:dyDescent="0.3">
      <c r="A294" s="6" t="s">
        <v>1434</v>
      </c>
      <c r="B294" s="6" t="s">
        <v>313</v>
      </c>
      <c r="C294" s="6" t="s">
        <v>717</v>
      </c>
      <c r="D294" s="6">
        <v>1</v>
      </c>
      <c r="E294" s="6" t="s">
        <v>1043</v>
      </c>
      <c r="F294" s="6" t="s">
        <v>1214</v>
      </c>
      <c r="G294" s="6" t="s">
        <v>987</v>
      </c>
      <c r="H294" s="13">
        <f t="shared" si="4"/>
        <v>222.5</v>
      </c>
      <c r="I294" s="6" t="s">
        <v>989</v>
      </c>
    </row>
    <row r="295" spans="1:9" x14ac:dyDescent="0.3">
      <c r="A295" s="6" t="s">
        <v>1435</v>
      </c>
      <c r="B295" s="6" t="s">
        <v>315</v>
      </c>
      <c r="C295" s="6" t="s">
        <v>118</v>
      </c>
      <c r="D295" s="6">
        <v>1</v>
      </c>
      <c r="E295" s="6" t="s">
        <v>1018</v>
      </c>
      <c r="F295" s="6" t="s">
        <v>1027</v>
      </c>
      <c r="G295" s="6" t="s">
        <v>1436</v>
      </c>
      <c r="H295" s="13">
        <f t="shared" si="4"/>
        <v>237.5</v>
      </c>
      <c r="I295" s="6" t="s">
        <v>1437</v>
      </c>
    </row>
    <row r="296" spans="1:9" x14ac:dyDescent="0.3">
      <c r="A296" s="6" t="s">
        <v>1438</v>
      </c>
      <c r="B296" s="6" t="s">
        <v>315</v>
      </c>
      <c r="C296" s="6" t="s">
        <v>625</v>
      </c>
      <c r="D296" s="6">
        <v>1</v>
      </c>
      <c r="E296" s="6" t="s">
        <v>1127</v>
      </c>
      <c r="F296" s="6" t="s">
        <v>1089</v>
      </c>
      <c r="G296" s="6" t="s">
        <v>980</v>
      </c>
      <c r="H296" s="13">
        <f t="shared" si="4"/>
        <v>131.25</v>
      </c>
      <c r="I296" s="6" t="s">
        <v>1031</v>
      </c>
    </row>
    <row r="297" spans="1:9" x14ac:dyDescent="0.3">
      <c r="A297" s="6" t="s">
        <v>1439</v>
      </c>
      <c r="B297" s="6" t="s">
        <v>317</v>
      </c>
      <c r="C297" s="6" t="s">
        <v>590</v>
      </c>
      <c r="D297" s="6">
        <v>1</v>
      </c>
      <c r="E297" s="6" t="s">
        <v>1080</v>
      </c>
      <c r="F297" s="6" t="s">
        <v>983</v>
      </c>
      <c r="G297" s="6" t="s">
        <v>1015</v>
      </c>
      <c r="H297" s="13">
        <f t="shared" si="4"/>
        <v>170</v>
      </c>
      <c r="I297" s="6" t="s">
        <v>1120</v>
      </c>
    </row>
    <row r="298" spans="1:9" x14ac:dyDescent="0.3">
      <c r="A298" s="6" t="s">
        <v>1440</v>
      </c>
      <c r="B298" s="6" t="s">
        <v>317</v>
      </c>
      <c r="C298" s="6" t="s">
        <v>626</v>
      </c>
      <c r="D298" s="6">
        <v>1</v>
      </c>
      <c r="E298" s="6" t="s">
        <v>1327</v>
      </c>
      <c r="F298" s="6" t="s">
        <v>1441</v>
      </c>
      <c r="G298" s="6" t="s">
        <v>1061</v>
      </c>
      <c r="H298" s="13">
        <f t="shared" si="4"/>
        <v>167.5</v>
      </c>
      <c r="I298" s="6" t="s">
        <v>1442</v>
      </c>
    </row>
    <row r="299" spans="1:9" x14ac:dyDescent="0.3">
      <c r="A299" s="6" t="s">
        <v>1443</v>
      </c>
      <c r="B299" s="6" t="s">
        <v>317</v>
      </c>
      <c r="C299" s="6" t="s">
        <v>657</v>
      </c>
      <c r="D299" s="6">
        <v>1</v>
      </c>
      <c r="E299" s="6" t="s">
        <v>1149</v>
      </c>
      <c r="F299" s="6" t="s">
        <v>1444</v>
      </c>
      <c r="G299" s="6" t="s">
        <v>1070</v>
      </c>
      <c r="H299" s="13">
        <f t="shared" si="4"/>
        <v>170</v>
      </c>
      <c r="I299" s="6" t="s">
        <v>1120</v>
      </c>
    </row>
    <row r="300" spans="1:9" x14ac:dyDescent="0.3">
      <c r="A300" s="6" t="s">
        <v>3104</v>
      </c>
      <c r="B300" s="6" t="s">
        <v>317</v>
      </c>
      <c r="C300" s="6" t="s">
        <v>3054</v>
      </c>
      <c r="D300" s="6">
        <v>1</v>
      </c>
      <c r="E300" s="6">
        <v>1E-3</v>
      </c>
      <c r="F300" s="6">
        <v>5.0000000000000001E-3</v>
      </c>
      <c r="G300" s="6">
        <v>1.0999999999999999E-2</v>
      </c>
      <c r="H300" s="13">
        <f t="shared" si="4"/>
        <v>170</v>
      </c>
      <c r="I300" s="6">
        <v>136</v>
      </c>
    </row>
    <row r="301" spans="1:9" x14ac:dyDescent="0.3">
      <c r="A301" s="6" t="s">
        <v>1445</v>
      </c>
      <c r="B301" s="6" t="s">
        <v>319</v>
      </c>
      <c r="C301" s="6" t="s">
        <v>277</v>
      </c>
      <c r="D301" s="6">
        <v>1</v>
      </c>
      <c r="E301" s="6" t="s">
        <v>1019</v>
      </c>
      <c r="F301" s="6" t="s">
        <v>1047</v>
      </c>
      <c r="G301" s="6" t="s">
        <v>1261</v>
      </c>
      <c r="H301" s="13">
        <f t="shared" si="4"/>
        <v>123.75</v>
      </c>
      <c r="I301" s="6" t="s">
        <v>981</v>
      </c>
    </row>
    <row r="302" spans="1:9" x14ac:dyDescent="0.3">
      <c r="A302" s="6" t="s">
        <v>1446</v>
      </c>
      <c r="B302" s="6" t="s">
        <v>319</v>
      </c>
      <c r="C302" s="6" t="s">
        <v>337</v>
      </c>
      <c r="D302" s="6">
        <v>1</v>
      </c>
      <c r="E302" s="6" t="s">
        <v>996</v>
      </c>
      <c r="F302" s="6" t="s">
        <v>996</v>
      </c>
      <c r="G302" s="6" t="s">
        <v>995</v>
      </c>
      <c r="H302" s="13">
        <f t="shared" si="4"/>
        <v>131.25</v>
      </c>
      <c r="I302" s="6" t="s">
        <v>1031</v>
      </c>
    </row>
    <row r="303" spans="1:9" x14ac:dyDescent="0.3">
      <c r="A303" s="6" t="s">
        <v>1447</v>
      </c>
      <c r="B303" s="6" t="s">
        <v>319</v>
      </c>
      <c r="C303" s="6" t="s">
        <v>512</v>
      </c>
      <c r="D303" s="6">
        <v>1</v>
      </c>
      <c r="E303" s="6" t="s">
        <v>985</v>
      </c>
      <c r="F303" s="6" t="s">
        <v>1327</v>
      </c>
      <c r="G303" s="6" t="s">
        <v>1018</v>
      </c>
      <c r="H303" s="13">
        <f t="shared" si="4"/>
        <v>123.75</v>
      </c>
      <c r="I303" s="6" t="s">
        <v>981</v>
      </c>
    </row>
    <row r="304" spans="1:9" x14ac:dyDescent="0.3">
      <c r="A304" s="6" t="s">
        <v>1448</v>
      </c>
      <c r="B304" s="6" t="s">
        <v>323</v>
      </c>
      <c r="C304" s="6" t="s">
        <v>321</v>
      </c>
      <c r="D304" s="6">
        <v>1</v>
      </c>
      <c r="E304" s="6" t="s">
        <v>1027</v>
      </c>
      <c r="F304" s="6" t="s">
        <v>1314</v>
      </c>
      <c r="G304" s="6" t="s">
        <v>1018</v>
      </c>
      <c r="H304" s="13">
        <f t="shared" si="4"/>
        <v>131.25</v>
      </c>
      <c r="I304" s="6" t="s">
        <v>1031</v>
      </c>
    </row>
    <row r="305" spans="1:9" x14ac:dyDescent="0.3">
      <c r="A305" s="6" t="s">
        <v>1449</v>
      </c>
      <c r="B305" s="6" t="s">
        <v>325</v>
      </c>
      <c r="C305" s="6" t="s">
        <v>549</v>
      </c>
      <c r="D305" s="6">
        <v>1</v>
      </c>
      <c r="E305" s="6" t="s">
        <v>1327</v>
      </c>
      <c r="F305" s="6" t="s">
        <v>1188</v>
      </c>
      <c r="G305" s="6" t="s">
        <v>1015</v>
      </c>
      <c r="H305" s="13">
        <f t="shared" si="4"/>
        <v>123.75</v>
      </c>
      <c r="I305" s="6" t="s">
        <v>981</v>
      </c>
    </row>
    <row r="306" spans="1:9" x14ac:dyDescent="0.3">
      <c r="A306" s="6" t="s">
        <v>1450</v>
      </c>
      <c r="B306" s="6" t="s">
        <v>325</v>
      </c>
      <c r="C306" s="6" t="s">
        <v>592</v>
      </c>
      <c r="D306" s="6">
        <v>1</v>
      </c>
      <c r="E306" s="6" t="s">
        <v>985</v>
      </c>
      <c r="F306" s="6" t="s">
        <v>1327</v>
      </c>
      <c r="G306" s="6" t="s">
        <v>1000</v>
      </c>
      <c r="H306" s="13">
        <f t="shared" si="4"/>
        <v>123.75</v>
      </c>
      <c r="I306" s="6" t="s">
        <v>981</v>
      </c>
    </row>
    <row r="307" spans="1:9" x14ac:dyDescent="0.3">
      <c r="A307" s="6" t="s">
        <v>1451</v>
      </c>
      <c r="B307" s="6" t="s">
        <v>328</v>
      </c>
      <c r="C307" s="6" t="s">
        <v>477</v>
      </c>
      <c r="D307" s="6">
        <v>1</v>
      </c>
      <c r="E307" s="6" t="s">
        <v>985</v>
      </c>
      <c r="F307" s="6" t="s">
        <v>1221</v>
      </c>
      <c r="G307" s="6" t="s">
        <v>1015</v>
      </c>
      <c r="H307" s="13">
        <f t="shared" si="4"/>
        <v>123.75</v>
      </c>
      <c r="I307" s="6" t="s">
        <v>981</v>
      </c>
    </row>
    <row r="308" spans="1:9" x14ac:dyDescent="0.3">
      <c r="A308" s="13" t="s">
        <v>1452</v>
      </c>
      <c r="B308" s="13" t="s">
        <v>328</v>
      </c>
      <c r="C308" s="13" t="s">
        <v>758</v>
      </c>
      <c r="D308" s="13">
        <v>1</v>
      </c>
      <c r="E308" s="13">
        <f>0.028/2</f>
        <v>1.4E-2</v>
      </c>
      <c r="F308" s="13">
        <f>0.146/2</f>
        <v>7.2999999999999995E-2</v>
      </c>
      <c r="G308" s="13">
        <f>0.018/2</f>
        <v>8.9999999999999993E-3</v>
      </c>
      <c r="H308" s="13">
        <f t="shared" si="4"/>
        <v>92.5</v>
      </c>
      <c r="I308" s="13" t="s">
        <v>1453</v>
      </c>
    </row>
    <row r="309" spans="1:9" x14ac:dyDescent="0.3">
      <c r="A309" s="13" t="s">
        <v>1454</v>
      </c>
      <c r="B309" s="13" t="s">
        <v>758</v>
      </c>
      <c r="C309" s="13" t="s">
        <v>570</v>
      </c>
      <c r="D309" s="13">
        <v>1</v>
      </c>
      <c r="E309" s="13">
        <f>0.028/2</f>
        <v>1.4E-2</v>
      </c>
      <c r="F309" s="13">
        <f>0.146/2</f>
        <v>7.2999999999999995E-2</v>
      </c>
      <c r="G309" s="13">
        <f>0.018/2</f>
        <v>8.9999999999999993E-3</v>
      </c>
      <c r="H309" s="13">
        <f t="shared" si="4"/>
        <v>92.5</v>
      </c>
      <c r="I309" s="13" t="s">
        <v>1453</v>
      </c>
    </row>
    <row r="310" spans="1:9" x14ac:dyDescent="0.3">
      <c r="A310" s="6" t="s">
        <v>1455</v>
      </c>
      <c r="B310" s="6" t="s">
        <v>328</v>
      </c>
      <c r="C310" s="6" t="s">
        <v>784</v>
      </c>
      <c r="D310" s="6">
        <v>1</v>
      </c>
      <c r="E310" s="6" t="s">
        <v>1122</v>
      </c>
      <c r="F310" s="6" t="s">
        <v>1036</v>
      </c>
      <c r="G310" s="6" t="s">
        <v>980</v>
      </c>
      <c r="H310" s="13">
        <f t="shared" si="4"/>
        <v>123.75</v>
      </c>
      <c r="I310" s="6" t="s">
        <v>981</v>
      </c>
    </row>
    <row r="311" spans="1:9" x14ac:dyDescent="0.3">
      <c r="A311" s="6" t="s">
        <v>1456</v>
      </c>
      <c r="B311" s="6" t="s">
        <v>330</v>
      </c>
      <c r="C311" s="6" t="s">
        <v>321</v>
      </c>
      <c r="D311" s="6">
        <v>1</v>
      </c>
      <c r="E311" s="6" t="s">
        <v>1018</v>
      </c>
      <c r="F311" s="6" t="s">
        <v>1054</v>
      </c>
      <c r="G311" s="6" t="s">
        <v>1000</v>
      </c>
      <c r="H311" s="13">
        <f t="shared" si="4"/>
        <v>222.5</v>
      </c>
      <c r="I311" s="6" t="s">
        <v>989</v>
      </c>
    </row>
    <row r="312" spans="1:9" x14ac:dyDescent="0.3">
      <c r="A312" s="6" t="s">
        <v>1457</v>
      </c>
      <c r="B312" s="6" t="s">
        <v>330</v>
      </c>
      <c r="C312" s="6" t="s">
        <v>657</v>
      </c>
      <c r="D312" s="6">
        <v>1</v>
      </c>
      <c r="E312" s="6" t="s">
        <v>1122</v>
      </c>
      <c r="F312" s="6" t="s">
        <v>1037</v>
      </c>
      <c r="G312" s="6" t="s">
        <v>992</v>
      </c>
      <c r="H312" s="13">
        <f t="shared" si="4"/>
        <v>222.5</v>
      </c>
      <c r="I312" s="6" t="s">
        <v>989</v>
      </c>
    </row>
    <row r="313" spans="1:9" x14ac:dyDescent="0.3">
      <c r="A313" s="6" t="s">
        <v>3105</v>
      </c>
      <c r="B313" s="6" t="s">
        <v>332</v>
      </c>
      <c r="C313" s="6" t="s">
        <v>333</v>
      </c>
      <c r="D313" s="6">
        <v>1</v>
      </c>
      <c r="E313" s="13">
        <v>1.0000000000000001E-5</v>
      </c>
      <c r="F313" s="13">
        <v>1.0000000000000001E-5</v>
      </c>
      <c r="G313" s="13">
        <v>1.0000000000000001E-5</v>
      </c>
      <c r="H313" s="13">
        <f t="shared" si="4"/>
        <v>123.75</v>
      </c>
      <c r="I313" s="13">
        <v>99</v>
      </c>
    </row>
    <row r="314" spans="1:9" x14ac:dyDescent="0.3">
      <c r="A314" s="6" t="s">
        <v>3106</v>
      </c>
      <c r="B314" s="6" t="s">
        <v>333</v>
      </c>
      <c r="C314" s="6" t="s">
        <v>3040</v>
      </c>
      <c r="D314" s="6">
        <v>1</v>
      </c>
      <c r="E314" s="13">
        <v>4.0000000000000001E-3</v>
      </c>
      <c r="F314" s="13">
        <v>1.9E-2</v>
      </c>
      <c r="G314" s="13">
        <v>1.0999999999999999E-2</v>
      </c>
      <c r="H314" s="13">
        <f t="shared" si="4"/>
        <v>130</v>
      </c>
      <c r="I314" s="13">
        <v>104</v>
      </c>
    </row>
    <row r="315" spans="1:9" x14ac:dyDescent="0.3">
      <c r="A315" s="6" t="s">
        <v>1458</v>
      </c>
      <c r="B315" s="6" t="s">
        <v>335</v>
      </c>
      <c r="C315" s="6" t="s">
        <v>798</v>
      </c>
      <c r="D315" s="6">
        <v>1</v>
      </c>
      <c r="E315" s="6" t="s">
        <v>980</v>
      </c>
      <c r="F315" s="6" t="s">
        <v>1030</v>
      </c>
      <c r="G315" s="6" t="s">
        <v>991</v>
      </c>
      <c r="H315" s="13">
        <f t="shared" si="4"/>
        <v>222.5</v>
      </c>
      <c r="I315" s="6" t="s">
        <v>989</v>
      </c>
    </row>
    <row r="316" spans="1:9" x14ac:dyDescent="0.3">
      <c r="A316" s="6" t="s">
        <v>3107</v>
      </c>
      <c r="B316" s="6" t="s">
        <v>335</v>
      </c>
      <c r="C316" s="6" t="s">
        <v>693</v>
      </c>
      <c r="D316" s="6">
        <v>1</v>
      </c>
      <c r="E316" s="6">
        <v>0.01</v>
      </c>
      <c r="F316" s="6">
        <v>0.05</v>
      </c>
      <c r="G316" s="6">
        <v>6.0000000000000001E-3</v>
      </c>
      <c r="H316" s="13">
        <f t="shared" si="4"/>
        <v>222.5</v>
      </c>
      <c r="I316" s="6">
        <v>178</v>
      </c>
    </row>
    <row r="317" spans="1:9" x14ac:dyDescent="0.3">
      <c r="A317" s="6" t="s">
        <v>1459</v>
      </c>
      <c r="B317" s="6" t="s">
        <v>340</v>
      </c>
      <c r="C317" s="6" t="s">
        <v>214</v>
      </c>
      <c r="D317" s="6">
        <v>1</v>
      </c>
      <c r="E317" s="6" t="s">
        <v>1184</v>
      </c>
      <c r="F317" s="6" t="s">
        <v>1112</v>
      </c>
      <c r="G317" s="6" t="s">
        <v>1018</v>
      </c>
      <c r="H317" s="13">
        <f t="shared" si="4"/>
        <v>263.75</v>
      </c>
      <c r="I317" s="6" t="s">
        <v>1460</v>
      </c>
    </row>
    <row r="318" spans="1:9" x14ac:dyDescent="0.3">
      <c r="A318" s="6" t="s">
        <v>1461</v>
      </c>
      <c r="B318" s="6" t="s">
        <v>340</v>
      </c>
      <c r="C318" s="6" t="s">
        <v>564</v>
      </c>
      <c r="D318" s="6">
        <v>1</v>
      </c>
      <c r="E318" s="6" t="s">
        <v>1025</v>
      </c>
      <c r="F318" s="6" t="s">
        <v>1355</v>
      </c>
      <c r="G318" s="6" t="s">
        <v>1011</v>
      </c>
      <c r="H318" s="13">
        <f t="shared" si="4"/>
        <v>245</v>
      </c>
      <c r="I318" s="6" t="s">
        <v>1132</v>
      </c>
    </row>
    <row r="319" spans="1:9" x14ac:dyDescent="0.3">
      <c r="A319" s="6" t="s">
        <v>1462</v>
      </c>
      <c r="B319" s="6" t="s">
        <v>342</v>
      </c>
      <c r="C319" s="6" t="s">
        <v>384</v>
      </c>
      <c r="D319" s="6">
        <v>1</v>
      </c>
      <c r="E319" s="6" t="s">
        <v>1018</v>
      </c>
      <c r="F319" s="6" t="s">
        <v>1016</v>
      </c>
      <c r="G319" s="6" t="s">
        <v>1061</v>
      </c>
      <c r="H319" s="13">
        <f t="shared" si="4"/>
        <v>86.25</v>
      </c>
      <c r="I319" s="6" t="s">
        <v>1193</v>
      </c>
    </row>
    <row r="320" spans="1:9" x14ac:dyDescent="0.3">
      <c r="A320" s="6" t="s">
        <v>1463</v>
      </c>
      <c r="B320" s="6" t="s">
        <v>342</v>
      </c>
      <c r="C320" s="6" t="s">
        <v>384</v>
      </c>
      <c r="D320" s="6">
        <v>1</v>
      </c>
      <c r="E320" s="6" t="s">
        <v>1018</v>
      </c>
      <c r="F320" s="6" t="s">
        <v>1016</v>
      </c>
      <c r="G320" s="6" t="s">
        <v>987</v>
      </c>
      <c r="H320" s="13">
        <f t="shared" si="4"/>
        <v>86.25</v>
      </c>
      <c r="I320" s="6" t="s">
        <v>1193</v>
      </c>
    </row>
    <row r="321" spans="1:9" x14ac:dyDescent="0.3">
      <c r="A321" s="6" t="s">
        <v>1464</v>
      </c>
      <c r="B321" s="6" t="s">
        <v>342</v>
      </c>
      <c r="C321" s="6" t="s">
        <v>443</v>
      </c>
      <c r="D321" s="6">
        <v>1</v>
      </c>
      <c r="E321" s="6" t="s">
        <v>1000</v>
      </c>
      <c r="F321" s="6" t="s">
        <v>1015</v>
      </c>
      <c r="G321" s="6" t="s">
        <v>1444</v>
      </c>
      <c r="H321" s="13">
        <f t="shared" si="4"/>
        <v>180</v>
      </c>
      <c r="I321" s="6" t="s">
        <v>1203</v>
      </c>
    </row>
    <row r="322" spans="1:9" x14ac:dyDescent="0.3">
      <c r="A322" s="6" t="s">
        <v>1465</v>
      </c>
      <c r="B322" s="6" t="s">
        <v>342</v>
      </c>
      <c r="C322" s="6" t="s">
        <v>443</v>
      </c>
      <c r="D322" s="6">
        <v>1</v>
      </c>
      <c r="E322" s="6" t="s">
        <v>1000</v>
      </c>
      <c r="F322" s="6" t="s">
        <v>1015</v>
      </c>
      <c r="G322" s="6" t="s">
        <v>1444</v>
      </c>
      <c r="H322" s="13">
        <f t="shared" si="4"/>
        <v>180</v>
      </c>
      <c r="I322" s="6" t="s">
        <v>1203</v>
      </c>
    </row>
    <row r="323" spans="1:9" x14ac:dyDescent="0.3">
      <c r="A323" s="6" t="s">
        <v>1466</v>
      </c>
      <c r="B323" s="6" t="s">
        <v>346</v>
      </c>
      <c r="C323" s="6" t="s">
        <v>259</v>
      </c>
      <c r="D323" s="6">
        <v>1</v>
      </c>
      <c r="E323" s="6" t="s">
        <v>1025</v>
      </c>
      <c r="F323" s="6" t="s">
        <v>1114</v>
      </c>
      <c r="G323" s="6" t="s">
        <v>1080</v>
      </c>
      <c r="H323" s="13">
        <f t="shared" ref="H323:H386" si="5">I323*1.25</f>
        <v>128.75</v>
      </c>
      <c r="I323" s="6" t="s">
        <v>1023</v>
      </c>
    </row>
    <row r="324" spans="1:9" x14ac:dyDescent="0.3">
      <c r="A324" s="6" t="s">
        <v>1467</v>
      </c>
      <c r="B324" s="6" t="s">
        <v>346</v>
      </c>
      <c r="C324" s="6" t="s">
        <v>530</v>
      </c>
      <c r="D324" s="6">
        <v>1</v>
      </c>
      <c r="E324" s="6" t="s">
        <v>1107</v>
      </c>
      <c r="F324" s="6" t="s">
        <v>1030</v>
      </c>
      <c r="G324" s="6" t="s">
        <v>991</v>
      </c>
      <c r="H324" s="13">
        <f t="shared" si="5"/>
        <v>123.75</v>
      </c>
      <c r="I324" s="6" t="s">
        <v>981</v>
      </c>
    </row>
    <row r="325" spans="1:9" x14ac:dyDescent="0.3">
      <c r="A325" s="6" t="s">
        <v>1468</v>
      </c>
      <c r="B325" s="6" t="s">
        <v>346</v>
      </c>
      <c r="C325" s="6" t="s">
        <v>578</v>
      </c>
      <c r="D325" s="6">
        <v>1</v>
      </c>
      <c r="E325" s="6" t="s">
        <v>1061</v>
      </c>
      <c r="F325" s="6" t="s">
        <v>992</v>
      </c>
      <c r="G325" s="6" t="s">
        <v>1000</v>
      </c>
      <c r="H325" s="13">
        <f t="shared" si="5"/>
        <v>123.75</v>
      </c>
      <c r="I325" s="6" t="s">
        <v>981</v>
      </c>
    </row>
    <row r="326" spans="1:9" x14ac:dyDescent="0.3">
      <c r="A326" s="6" t="s">
        <v>1469</v>
      </c>
      <c r="B326" s="6" t="s">
        <v>349</v>
      </c>
      <c r="C326" s="6" t="s">
        <v>375</v>
      </c>
      <c r="D326" s="6">
        <v>1</v>
      </c>
      <c r="E326" s="6" t="s">
        <v>1470</v>
      </c>
      <c r="F326" s="6" t="s">
        <v>1441</v>
      </c>
      <c r="G326" s="6" t="s">
        <v>1061</v>
      </c>
      <c r="H326" s="13">
        <f t="shared" si="5"/>
        <v>102.5</v>
      </c>
      <c r="I326" s="6" t="s">
        <v>1044</v>
      </c>
    </row>
    <row r="327" spans="1:9" x14ac:dyDescent="0.3">
      <c r="A327" s="6" t="s">
        <v>1471</v>
      </c>
      <c r="B327" s="6" t="s">
        <v>349</v>
      </c>
      <c r="C327" s="6" t="s">
        <v>375</v>
      </c>
      <c r="D327" s="6">
        <v>1</v>
      </c>
      <c r="E327" s="6" t="s">
        <v>1470</v>
      </c>
      <c r="F327" s="6" t="s">
        <v>1441</v>
      </c>
      <c r="G327" s="6" t="s">
        <v>1061</v>
      </c>
      <c r="H327" s="13">
        <f t="shared" si="5"/>
        <v>102.5</v>
      </c>
      <c r="I327" s="6" t="s">
        <v>1044</v>
      </c>
    </row>
    <row r="328" spans="1:9" x14ac:dyDescent="0.3">
      <c r="A328" s="6" t="s">
        <v>1472</v>
      </c>
      <c r="B328" s="6" t="s">
        <v>349</v>
      </c>
      <c r="C328" s="6" t="s">
        <v>637</v>
      </c>
      <c r="D328" s="6">
        <v>1</v>
      </c>
      <c r="E328" s="6" t="s">
        <v>1261</v>
      </c>
      <c r="F328" s="6" t="s">
        <v>1473</v>
      </c>
      <c r="G328" s="6" t="s">
        <v>1015</v>
      </c>
      <c r="H328" s="13">
        <f t="shared" si="5"/>
        <v>102.5</v>
      </c>
      <c r="I328" s="6" t="s">
        <v>1044</v>
      </c>
    </row>
    <row r="329" spans="1:9" x14ac:dyDescent="0.3">
      <c r="A329" s="6" t="s">
        <v>1474</v>
      </c>
      <c r="B329" s="6" t="s">
        <v>349</v>
      </c>
      <c r="C329" s="6" t="s">
        <v>637</v>
      </c>
      <c r="D329" s="6">
        <v>1</v>
      </c>
      <c r="E329" s="6" t="s">
        <v>1261</v>
      </c>
      <c r="F329" s="6" t="s">
        <v>1473</v>
      </c>
      <c r="G329" s="6" t="s">
        <v>1015</v>
      </c>
      <c r="H329" s="13">
        <f t="shared" si="5"/>
        <v>102.5</v>
      </c>
      <c r="I329" s="6" t="s">
        <v>1044</v>
      </c>
    </row>
    <row r="330" spans="1:9" x14ac:dyDescent="0.3">
      <c r="A330" s="6" t="s">
        <v>1475</v>
      </c>
      <c r="B330" s="6" t="s">
        <v>349</v>
      </c>
      <c r="C330" s="11" t="s">
        <v>351</v>
      </c>
      <c r="D330" s="6">
        <v>1</v>
      </c>
      <c r="E330" s="6" t="s">
        <v>1261</v>
      </c>
      <c r="F330" s="6" t="s">
        <v>1473</v>
      </c>
      <c r="G330" s="6" t="s">
        <v>1015</v>
      </c>
      <c r="H330" s="13">
        <f t="shared" si="5"/>
        <v>102.5</v>
      </c>
      <c r="I330" s="6" t="s">
        <v>1044</v>
      </c>
    </row>
    <row r="331" spans="1:9" x14ac:dyDescent="0.3">
      <c r="A331" s="6" t="s">
        <v>1476</v>
      </c>
      <c r="B331" s="6" t="s">
        <v>353</v>
      </c>
      <c r="C331" s="6" t="s">
        <v>373</v>
      </c>
      <c r="D331" s="6">
        <v>1</v>
      </c>
      <c r="E331" s="6" t="s">
        <v>978</v>
      </c>
      <c r="F331" s="6" t="s">
        <v>1078</v>
      </c>
      <c r="G331" s="6" t="s">
        <v>980</v>
      </c>
      <c r="H331" s="13">
        <f t="shared" si="5"/>
        <v>123.75</v>
      </c>
      <c r="I331" s="6" t="s">
        <v>981</v>
      </c>
    </row>
    <row r="332" spans="1:9" x14ac:dyDescent="0.3">
      <c r="A332" s="6" t="s">
        <v>1477</v>
      </c>
      <c r="B332" s="6" t="s">
        <v>355</v>
      </c>
      <c r="C332" s="6" t="s">
        <v>742</v>
      </c>
      <c r="D332" s="6">
        <v>1</v>
      </c>
      <c r="E332" s="6" t="s">
        <v>1018</v>
      </c>
      <c r="F332" s="6" t="s">
        <v>1070</v>
      </c>
      <c r="G332" s="6" t="s">
        <v>1000</v>
      </c>
      <c r="H332" s="13">
        <f t="shared" si="5"/>
        <v>98.75</v>
      </c>
      <c r="I332" s="6" t="s">
        <v>1217</v>
      </c>
    </row>
    <row r="333" spans="1:9" x14ac:dyDescent="0.3">
      <c r="A333" s="6" t="s">
        <v>1478</v>
      </c>
      <c r="B333" s="6" t="s">
        <v>355</v>
      </c>
      <c r="C333" s="6" t="s">
        <v>742</v>
      </c>
      <c r="D333" s="6">
        <v>1</v>
      </c>
      <c r="E333" s="6" t="s">
        <v>1018</v>
      </c>
      <c r="F333" s="6" t="s">
        <v>1070</v>
      </c>
      <c r="G333" s="6" t="s">
        <v>1000</v>
      </c>
      <c r="H333" s="13">
        <f t="shared" si="5"/>
        <v>98.75</v>
      </c>
      <c r="I333" s="6" t="s">
        <v>1217</v>
      </c>
    </row>
    <row r="334" spans="1:9" x14ac:dyDescent="0.3">
      <c r="A334" s="6" t="s">
        <v>1479</v>
      </c>
      <c r="B334" s="6" t="s">
        <v>355</v>
      </c>
      <c r="C334" s="6" t="s">
        <v>742</v>
      </c>
      <c r="D334" s="6">
        <v>1</v>
      </c>
      <c r="E334" s="6" t="s">
        <v>1015</v>
      </c>
      <c r="F334" s="6" t="s">
        <v>1070</v>
      </c>
      <c r="G334" s="6" t="s">
        <v>996</v>
      </c>
      <c r="H334" s="13">
        <f t="shared" si="5"/>
        <v>135</v>
      </c>
      <c r="I334" s="6" t="s">
        <v>1480</v>
      </c>
    </row>
    <row r="335" spans="1:9" x14ac:dyDescent="0.3">
      <c r="A335" s="6" t="s">
        <v>1481</v>
      </c>
      <c r="B335" s="6" t="s">
        <v>355</v>
      </c>
      <c r="C335" s="6" t="s">
        <v>768</v>
      </c>
      <c r="D335" s="6">
        <v>1</v>
      </c>
      <c r="E335" s="6" t="s">
        <v>1127</v>
      </c>
      <c r="F335" s="6" t="s">
        <v>1131</v>
      </c>
      <c r="G335" s="6" t="s">
        <v>1061</v>
      </c>
      <c r="H335" s="13">
        <f t="shared" si="5"/>
        <v>136.25</v>
      </c>
      <c r="I335" s="6" t="s">
        <v>1028</v>
      </c>
    </row>
    <row r="336" spans="1:9" x14ac:dyDescent="0.3">
      <c r="A336" s="6" t="s">
        <v>1482</v>
      </c>
      <c r="B336" s="6" t="s">
        <v>355</v>
      </c>
      <c r="C336" s="6" t="s">
        <v>768</v>
      </c>
      <c r="D336" s="6">
        <v>1</v>
      </c>
      <c r="E336" s="6" t="s">
        <v>1030</v>
      </c>
      <c r="F336" s="6" t="s">
        <v>1214</v>
      </c>
      <c r="G336" s="6" t="s">
        <v>985</v>
      </c>
      <c r="H336" s="13">
        <f t="shared" si="5"/>
        <v>136.25</v>
      </c>
      <c r="I336" s="6" t="s">
        <v>1028</v>
      </c>
    </row>
    <row r="337" spans="1:9" x14ac:dyDescent="0.3">
      <c r="A337" s="6" t="s">
        <v>1483</v>
      </c>
      <c r="B337" s="6" t="s">
        <v>358</v>
      </c>
      <c r="C337" s="6" t="s">
        <v>424</v>
      </c>
      <c r="D337" s="6">
        <v>1</v>
      </c>
      <c r="E337" s="6" t="s">
        <v>1127</v>
      </c>
      <c r="F337" s="6" t="s">
        <v>1068</v>
      </c>
      <c r="G337" s="6" t="s">
        <v>980</v>
      </c>
      <c r="H337" s="13">
        <f t="shared" si="5"/>
        <v>123.75</v>
      </c>
      <c r="I337" s="6" t="s">
        <v>981</v>
      </c>
    </row>
    <row r="338" spans="1:9" x14ac:dyDescent="0.3">
      <c r="A338" s="6" t="s">
        <v>1484</v>
      </c>
      <c r="B338" s="6" t="s">
        <v>358</v>
      </c>
      <c r="C338" s="6" t="s">
        <v>549</v>
      </c>
      <c r="D338" s="6">
        <v>1</v>
      </c>
      <c r="E338" s="6" t="s">
        <v>1202</v>
      </c>
      <c r="F338" s="6" t="s">
        <v>1001</v>
      </c>
      <c r="G338" s="6" t="s">
        <v>1016</v>
      </c>
      <c r="H338" s="13">
        <f t="shared" si="5"/>
        <v>123.75</v>
      </c>
      <c r="I338" s="6" t="s">
        <v>981</v>
      </c>
    </row>
    <row r="339" spans="1:9" x14ac:dyDescent="0.3">
      <c r="A339" s="6" t="s">
        <v>1485</v>
      </c>
      <c r="B339" s="6" t="s">
        <v>358</v>
      </c>
      <c r="C339" s="6" t="s">
        <v>655</v>
      </c>
      <c r="D339" s="6">
        <v>1</v>
      </c>
      <c r="E339" s="6" t="s">
        <v>1061</v>
      </c>
      <c r="F339" s="6" t="s">
        <v>1261</v>
      </c>
      <c r="G339" s="6" t="s">
        <v>1000</v>
      </c>
      <c r="H339" s="13">
        <f t="shared" si="5"/>
        <v>123.75</v>
      </c>
      <c r="I339" s="6" t="s">
        <v>981</v>
      </c>
    </row>
    <row r="340" spans="1:9" x14ac:dyDescent="0.3">
      <c r="A340" s="6" t="s">
        <v>3108</v>
      </c>
      <c r="B340" s="6" t="s">
        <v>358</v>
      </c>
      <c r="C340" s="6" t="s">
        <v>635</v>
      </c>
      <c r="D340" s="6">
        <v>1</v>
      </c>
      <c r="E340" s="6">
        <v>2E-3</v>
      </c>
      <c r="F340" s="6">
        <v>8.9999999999999993E-3</v>
      </c>
      <c r="G340" s="6">
        <v>4.0000000000000001E-3</v>
      </c>
      <c r="H340" s="13">
        <f t="shared" si="5"/>
        <v>222.5</v>
      </c>
      <c r="I340" s="6">
        <v>178</v>
      </c>
    </row>
    <row r="341" spans="1:9" x14ac:dyDescent="0.3">
      <c r="A341" s="6" t="s">
        <v>1486</v>
      </c>
      <c r="B341" s="6" t="s">
        <v>360</v>
      </c>
      <c r="C341" s="6" t="s">
        <v>494</v>
      </c>
      <c r="D341" s="6">
        <v>1</v>
      </c>
      <c r="E341" s="6" t="s">
        <v>987</v>
      </c>
      <c r="F341" s="6" t="s">
        <v>1059</v>
      </c>
      <c r="G341" s="6" t="s">
        <v>1271</v>
      </c>
      <c r="H341" s="13">
        <f t="shared" si="5"/>
        <v>491.25</v>
      </c>
      <c r="I341" s="6" t="s">
        <v>1006</v>
      </c>
    </row>
    <row r="342" spans="1:9" x14ac:dyDescent="0.3">
      <c r="A342" s="6" t="s">
        <v>1487</v>
      </c>
      <c r="B342" s="6" t="s">
        <v>360</v>
      </c>
      <c r="C342" s="6" t="s">
        <v>572</v>
      </c>
      <c r="D342" s="6">
        <v>1</v>
      </c>
      <c r="E342" s="6" t="s">
        <v>1018</v>
      </c>
      <c r="F342" s="6" t="s">
        <v>1470</v>
      </c>
      <c r="G342" s="6" t="s">
        <v>983</v>
      </c>
      <c r="H342" s="13">
        <f t="shared" si="5"/>
        <v>437.5</v>
      </c>
      <c r="I342" s="6" t="s">
        <v>1413</v>
      </c>
    </row>
    <row r="343" spans="1:9" x14ac:dyDescent="0.3">
      <c r="A343" s="6" t="s">
        <v>1488</v>
      </c>
      <c r="B343" s="6" t="s">
        <v>360</v>
      </c>
      <c r="C343" s="6" t="s">
        <v>572</v>
      </c>
      <c r="D343" s="6">
        <v>1</v>
      </c>
      <c r="E343" s="6" t="s">
        <v>1018</v>
      </c>
      <c r="F343" s="6" t="s">
        <v>1327</v>
      </c>
      <c r="G343" s="6" t="s">
        <v>1112</v>
      </c>
      <c r="H343" s="13">
        <f t="shared" si="5"/>
        <v>437.5</v>
      </c>
      <c r="I343" s="6" t="s">
        <v>1413</v>
      </c>
    </row>
    <row r="344" spans="1:9" x14ac:dyDescent="0.3">
      <c r="A344" s="6" t="s">
        <v>1489</v>
      </c>
      <c r="B344" s="6" t="s">
        <v>360</v>
      </c>
      <c r="C344" s="6" t="s">
        <v>572</v>
      </c>
      <c r="D344" s="6">
        <v>1</v>
      </c>
      <c r="E344" s="6" t="s">
        <v>1018</v>
      </c>
      <c r="F344" s="6" t="s">
        <v>978</v>
      </c>
      <c r="G344" s="6" t="s">
        <v>1490</v>
      </c>
      <c r="H344" s="13">
        <f t="shared" si="5"/>
        <v>542.5</v>
      </c>
      <c r="I344" s="6" t="s">
        <v>1013</v>
      </c>
    </row>
    <row r="345" spans="1:9" x14ac:dyDescent="0.3">
      <c r="A345" s="6" t="s">
        <v>1491</v>
      </c>
      <c r="B345" s="6" t="s">
        <v>362</v>
      </c>
      <c r="C345" s="6" t="s">
        <v>603</v>
      </c>
      <c r="D345" s="6">
        <v>1</v>
      </c>
      <c r="E345" s="6" t="s">
        <v>1018</v>
      </c>
      <c r="F345" s="6" t="s">
        <v>1149</v>
      </c>
      <c r="G345" s="6" t="s">
        <v>1492</v>
      </c>
      <c r="H345" s="13">
        <f t="shared" si="5"/>
        <v>1603.75</v>
      </c>
      <c r="I345" s="6">
        <v>1283</v>
      </c>
    </row>
    <row r="346" spans="1:9" x14ac:dyDescent="0.3">
      <c r="A346" s="6" t="s">
        <v>1493</v>
      </c>
      <c r="B346" s="6" t="s">
        <v>360</v>
      </c>
      <c r="C346" s="6" t="s">
        <v>759</v>
      </c>
      <c r="D346" s="6">
        <v>1</v>
      </c>
      <c r="E346" s="6" t="s">
        <v>991</v>
      </c>
      <c r="F346" s="6" t="s">
        <v>1004</v>
      </c>
      <c r="G346" s="6" t="s">
        <v>1494</v>
      </c>
      <c r="H346" s="13">
        <f t="shared" si="5"/>
        <v>438.75</v>
      </c>
      <c r="I346" s="6" t="s">
        <v>1495</v>
      </c>
    </row>
    <row r="347" spans="1:9" x14ac:dyDescent="0.3">
      <c r="A347" s="6" t="s">
        <v>1496</v>
      </c>
      <c r="B347" s="6" t="s">
        <v>365</v>
      </c>
      <c r="C347" s="6" t="s">
        <v>125</v>
      </c>
      <c r="D347" s="6">
        <v>1</v>
      </c>
      <c r="E347" s="6" t="s">
        <v>1018</v>
      </c>
      <c r="F347" s="6" t="s">
        <v>1011</v>
      </c>
      <c r="G347" s="6" t="s">
        <v>1118</v>
      </c>
      <c r="H347" s="13">
        <f t="shared" si="5"/>
        <v>175</v>
      </c>
      <c r="I347" s="6" t="s">
        <v>1020</v>
      </c>
    </row>
    <row r="348" spans="1:9" x14ac:dyDescent="0.3">
      <c r="A348" s="6" t="s">
        <v>1497</v>
      </c>
      <c r="B348" s="6" t="s">
        <v>365</v>
      </c>
      <c r="C348" s="6" t="s">
        <v>380</v>
      </c>
      <c r="D348" s="6">
        <v>1</v>
      </c>
      <c r="E348" s="6" t="s">
        <v>1000</v>
      </c>
      <c r="F348" s="6" t="s">
        <v>1070</v>
      </c>
      <c r="G348" s="6" t="s">
        <v>984</v>
      </c>
      <c r="H348" s="13">
        <f t="shared" si="5"/>
        <v>175</v>
      </c>
      <c r="I348" s="6" t="s">
        <v>1020</v>
      </c>
    </row>
    <row r="349" spans="1:9" x14ac:dyDescent="0.3">
      <c r="A349" s="6" t="s">
        <v>1498</v>
      </c>
      <c r="B349" s="6" t="s">
        <v>365</v>
      </c>
      <c r="C349" s="6" t="s">
        <v>483</v>
      </c>
      <c r="D349" s="6">
        <v>1</v>
      </c>
      <c r="E349" s="6" t="s">
        <v>1000</v>
      </c>
      <c r="F349" s="6" t="s">
        <v>1015</v>
      </c>
      <c r="G349" s="6" t="s">
        <v>1470</v>
      </c>
      <c r="H349" s="13">
        <f t="shared" si="5"/>
        <v>175</v>
      </c>
      <c r="I349" s="6" t="s">
        <v>1020</v>
      </c>
    </row>
    <row r="350" spans="1:9" x14ac:dyDescent="0.3">
      <c r="A350" s="6" t="s">
        <v>1499</v>
      </c>
      <c r="B350" s="6" t="s">
        <v>367</v>
      </c>
      <c r="C350" s="6" t="s">
        <v>637</v>
      </c>
      <c r="D350" s="6">
        <v>1</v>
      </c>
      <c r="E350" s="6" t="s">
        <v>1314</v>
      </c>
      <c r="F350" s="6" t="s">
        <v>1500</v>
      </c>
      <c r="G350" s="6" t="s">
        <v>985</v>
      </c>
      <c r="H350" s="13">
        <f t="shared" si="5"/>
        <v>232.5</v>
      </c>
      <c r="I350" s="6" t="s">
        <v>1369</v>
      </c>
    </row>
    <row r="351" spans="1:9" x14ac:dyDescent="0.3">
      <c r="A351" s="6" t="s">
        <v>1501</v>
      </c>
      <c r="B351" s="6" t="s">
        <v>367</v>
      </c>
      <c r="C351" s="6" t="s">
        <v>768</v>
      </c>
      <c r="D351" s="6">
        <v>1</v>
      </c>
      <c r="E351" s="6" t="s">
        <v>1018</v>
      </c>
      <c r="F351" s="6" t="s">
        <v>992</v>
      </c>
      <c r="G351" s="6" t="s">
        <v>1015</v>
      </c>
      <c r="H351" s="13">
        <f t="shared" si="5"/>
        <v>196.25</v>
      </c>
      <c r="I351" s="6" t="s">
        <v>1502</v>
      </c>
    </row>
    <row r="352" spans="1:9" x14ac:dyDescent="0.3">
      <c r="A352" s="6" t="s">
        <v>1503</v>
      </c>
      <c r="B352" s="6" t="s">
        <v>367</v>
      </c>
      <c r="C352" s="6" t="s">
        <v>768</v>
      </c>
      <c r="D352" s="6">
        <v>1</v>
      </c>
      <c r="E352" s="6" t="s">
        <v>1011</v>
      </c>
      <c r="F352" s="6" t="s">
        <v>1076</v>
      </c>
      <c r="G352" s="6" t="s">
        <v>1000</v>
      </c>
      <c r="H352" s="13">
        <f t="shared" si="5"/>
        <v>180</v>
      </c>
      <c r="I352" s="6" t="s">
        <v>1203</v>
      </c>
    </row>
    <row r="353" spans="1:9" x14ac:dyDescent="0.3">
      <c r="A353" s="6" t="s">
        <v>1504</v>
      </c>
      <c r="B353" s="6" t="s">
        <v>367</v>
      </c>
      <c r="C353" s="6" t="s">
        <v>768</v>
      </c>
      <c r="D353" s="6">
        <v>1</v>
      </c>
      <c r="E353" s="6" t="s">
        <v>1018</v>
      </c>
      <c r="F353" s="6" t="s">
        <v>1202</v>
      </c>
      <c r="G353" s="6" t="s">
        <v>1027</v>
      </c>
      <c r="H353" s="13">
        <f t="shared" si="5"/>
        <v>232.5</v>
      </c>
      <c r="I353" s="6" t="s">
        <v>1369</v>
      </c>
    </row>
    <row r="354" spans="1:9" x14ac:dyDescent="0.3">
      <c r="A354" s="6" t="s">
        <v>1505</v>
      </c>
      <c r="B354" s="6" t="s">
        <v>373</v>
      </c>
      <c r="C354" s="6" t="s">
        <v>716</v>
      </c>
      <c r="D354" s="6">
        <v>1</v>
      </c>
      <c r="E354" s="6" t="s">
        <v>991</v>
      </c>
      <c r="F354" s="6" t="s">
        <v>983</v>
      </c>
      <c r="G354" s="6" t="s">
        <v>1506</v>
      </c>
      <c r="H354" s="13">
        <f t="shared" si="5"/>
        <v>243.75</v>
      </c>
      <c r="I354" s="6" t="s">
        <v>1145</v>
      </c>
    </row>
    <row r="355" spans="1:9" x14ac:dyDescent="0.3">
      <c r="A355" s="6" t="s">
        <v>1507</v>
      </c>
      <c r="B355" s="6" t="s">
        <v>378</v>
      </c>
      <c r="C355" s="6" t="s">
        <v>378</v>
      </c>
      <c r="D355" s="13">
        <v>0</v>
      </c>
      <c r="E355" s="6" t="s">
        <v>1061</v>
      </c>
      <c r="F355" s="6" t="s">
        <v>992</v>
      </c>
      <c r="G355" s="6" t="s">
        <v>1000</v>
      </c>
      <c r="H355" s="13">
        <f t="shared" si="5"/>
        <v>131.25</v>
      </c>
      <c r="I355" s="6" t="s">
        <v>1031</v>
      </c>
    </row>
    <row r="356" spans="1:9" x14ac:dyDescent="0.3">
      <c r="A356" s="6" t="s">
        <v>1508</v>
      </c>
      <c r="B356" s="6" t="s">
        <v>380</v>
      </c>
      <c r="C356" s="6" t="s">
        <v>409</v>
      </c>
      <c r="D356" s="6">
        <v>1</v>
      </c>
      <c r="E356" s="6" t="s">
        <v>1004</v>
      </c>
      <c r="F356" s="6" t="s">
        <v>983</v>
      </c>
      <c r="G356" s="6" t="s">
        <v>1015</v>
      </c>
      <c r="H356" s="13">
        <f t="shared" si="5"/>
        <v>131.25</v>
      </c>
      <c r="I356" s="6" t="s">
        <v>1031</v>
      </c>
    </row>
    <row r="357" spans="1:9" x14ac:dyDescent="0.3">
      <c r="A357" s="6" t="s">
        <v>1509</v>
      </c>
      <c r="B357" s="6" t="s">
        <v>380</v>
      </c>
      <c r="C357" s="6" t="s">
        <v>430</v>
      </c>
      <c r="D357" s="6">
        <v>1</v>
      </c>
      <c r="E357" s="6" t="s">
        <v>1015</v>
      </c>
      <c r="F357" s="6" t="s">
        <v>985</v>
      </c>
      <c r="G357" s="6" t="s">
        <v>1510</v>
      </c>
      <c r="H357" s="13">
        <f t="shared" si="5"/>
        <v>148.75</v>
      </c>
      <c r="I357" s="6" t="s">
        <v>1159</v>
      </c>
    </row>
    <row r="358" spans="1:9" x14ac:dyDescent="0.3">
      <c r="A358" s="6" t="s">
        <v>1511</v>
      </c>
      <c r="B358" s="6" t="s">
        <v>382</v>
      </c>
      <c r="C358" s="6" t="s">
        <v>451</v>
      </c>
      <c r="D358" s="6">
        <v>1</v>
      </c>
      <c r="E358" s="6" t="s">
        <v>995</v>
      </c>
      <c r="F358" s="6" t="s">
        <v>996</v>
      </c>
      <c r="G358" s="6" t="s">
        <v>997</v>
      </c>
      <c r="H358" s="13">
        <f t="shared" si="5"/>
        <v>741.25</v>
      </c>
      <c r="I358" s="6" t="s">
        <v>998</v>
      </c>
    </row>
    <row r="359" spans="1:9" x14ac:dyDescent="0.3">
      <c r="A359" s="6" t="s">
        <v>1512</v>
      </c>
      <c r="B359" s="6" t="s">
        <v>380</v>
      </c>
      <c r="C359" s="6" t="s">
        <v>574</v>
      </c>
      <c r="D359" s="6">
        <v>1</v>
      </c>
      <c r="E359" s="6" t="s">
        <v>991</v>
      </c>
      <c r="F359" s="6" t="s">
        <v>987</v>
      </c>
      <c r="G359" s="6" t="s">
        <v>1513</v>
      </c>
      <c r="H359" s="13">
        <f t="shared" si="5"/>
        <v>148.75</v>
      </c>
      <c r="I359" s="6" t="s">
        <v>1159</v>
      </c>
    </row>
    <row r="360" spans="1:9" x14ac:dyDescent="0.3">
      <c r="A360" s="6" t="s">
        <v>1514</v>
      </c>
      <c r="B360" s="6" t="s">
        <v>382</v>
      </c>
      <c r="C360" s="6" t="s">
        <v>633</v>
      </c>
      <c r="D360" s="6">
        <v>1</v>
      </c>
      <c r="E360" s="6" t="s">
        <v>996</v>
      </c>
      <c r="F360" s="6" t="s">
        <v>1018</v>
      </c>
      <c r="G360" s="6" t="s">
        <v>1515</v>
      </c>
      <c r="H360" s="13">
        <f t="shared" si="5"/>
        <v>415</v>
      </c>
      <c r="I360" s="6" t="s">
        <v>1516</v>
      </c>
    </row>
    <row r="361" spans="1:9" x14ac:dyDescent="0.3">
      <c r="A361" s="6" t="s">
        <v>1517</v>
      </c>
      <c r="B361" s="6" t="s">
        <v>380</v>
      </c>
      <c r="C361" s="6" t="s">
        <v>659</v>
      </c>
      <c r="D361" s="6">
        <v>1</v>
      </c>
      <c r="E361" s="6" t="s">
        <v>1000</v>
      </c>
      <c r="F361" s="6" t="s">
        <v>1015</v>
      </c>
      <c r="G361" s="6" t="s">
        <v>1327</v>
      </c>
      <c r="H361" s="13">
        <f t="shared" si="5"/>
        <v>150</v>
      </c>
      <c r="I361" s="6" t="s">
        <v>1065</v>
      </c>
    </row>
    <row r="362" spans="1:9" x14ac:dyDescent="0.3">
      <c r="A362" s="6" t="s">
        <v>1518</v>
      </c>
      <c r="B362" s="6" t="s">
        <v>380</v>
      </c>
      <c r="C362" s="6" t="s">
        <v>666</v>
      </c>
      <c r="D362" s="6">
        <v>1</v>
      </c>
      <c r="E362" s="6" t="s">
        <v>991</v>
      </c>
      <c r="F362" s="6" t="s">
        <v>1051</v>
      </c>
      <c r="G362" s="6" t="s">
        <v>980</v>
      </c>
      <c r="H362" s="13">
        <f t="shared" si="5"/>
        <v>100</v>
      </c>
      <c r="I362" s="6" t="s">
        <v>1236</v>
      </c>
    </row>
    <row r="363" spans="1:9" x14ac:dyDescent="0.3">
      <c r="A363" s="6" t="s">
        <v>1519</v>
      </c>
      <c r="B363" s="6" t="s">
        <v>382</v>
      </c>
      <c r="C363" s="6" t="s">
        <v>708</v>
      </c>
      <c r="D363" s="6">
        <v>1</v>
      </c>
      <c r="E363" s="6" t="s">
        <v>995</v>
      </c>
      <c r="F363" s="6" t="s">
        <v>1015</v>
      </c>
      <c r="G363" s="6" t="s">
        <v>1520</v>
      </c>
      <c r="H363" s="13">
        <f t="shared" si="5"/>
        <v>670</v>
      </c>
      <c r="I363" s="6" t="s">
        <v>1002</v>
      </c>
    </row>
    <row r="364" spans="1:9" x14ac:dyDescent="0.3">
      <c r="A364" s="6" t="s">
        <v>1521</v>
      </c>
      <c r="B364" s="6" t="s">
        <v>380</v>
      </c>
      <c r="C364" s="6" t="s">
        <v>741</v>
      </c>
      <c r="D364" s="6">
        <v>1</v>
      </c>
      <c r="E364" s="6" t="s">
        <v>1025</v>
      </c>
      <c r="F364" s="6" t="s">
        <v>1001</v>
      </c>
      <c r="G364" s="6" t="s">
        <v>1522</v>
      </c>
      <c r="H364" s="13">
        <f t="shared" si="5"/>
        <v>131.25</v>
      </c>
      <c r="I364" s="6" t="s">
        <v>1031</v>
      </c>
    </row>
    <row r="365" spans="1:9" x14ac:dyDescent="0.3">
      <c r="A365" s="6" t="s">
        <v>1523</v>
      </c>
      <c r="B365" s="6" t="s">
        <v>384</v>
      </c>
      <c r="C365" s="6" t="s">
        <v>443</v>
      </c>
      <c r="D365" s="6">
        <v>1</v>
      </c>
      <c r="E365" s="6" t="s">
        <v>996</v>
      </c>
      <c r="F365" s="6" t="s">
        <v>991</v>
      </c>
      <c r="G365" s="6" t="s">
        <v>1004</v>
      </c>
      <c r="H365" s="13">
        <f t="shared" si="5"/>
        <v>180</v>
      </c>
      <c r="I365" s="6" t="s">
        <v>1203</v>
      </c>
    </row>
    <row r="366" spans="1:9" x14ac:dyDescent="0.3">
      <c r="A366" s="6" t="s">
        <v>1524</v>
      </c>
      <c r="B366" s="6" t="s">
        <v>384</v>
      </c>
      <c r="C366" s="6" t="s">
        <v>443</v>
      </c>
      <c r="D366" s="6">
        <v>1</v>
      </c>
      <c r="E366" s="6" t="s">
        <v>996</v>
      </c>
      <c r="F366" s="6" t="s">
        <v>991</v>
      </c>
      <c r="G366" s="6" t="s">
        <v>1004</v>
      </c>
      <c r="H366" s="13">
        <f t="shared" si="5"/>
        <v>180</v>
      </c>
      <c r="I366" s="6" t="s">
        <v>1203</v>
      </c>
    </row>
    <row r="367" spans="1:9" x14ac:dyDescent="0.3">
      <c r="A367" s="6" t="s">
        <v>1525</v>
      </c>
      <c r="B367" s="6" t="s">
        <v>387</v>
      </c>
      <c r="C367" s="6" t="s">
        <v>407</v>
      </c>
      <c r="D367" s="6">
        <v>1</v>
      </c>
      <c r="E367" s="6" t="s">
        <v>992</v>
      </c>
      <c r="F367" s="6" t="s">
        <v>988</v>
      </c>
      <c r="G367" s="6" t="s">
        <v>991</v>
      </c>
      <c r="H367" s="13">
        <f t="shared" si="5"/>
        <v>131.25</v>
      </c>
      <c r="I367" s="6" t="s">
        <v>1031</v>
      </c>
    </row>
    <row r="368" spans="1:9" x14ac:dyDescent="0.3">
      <c r="A368" s="6" t="s">
        <v>1526</v>
      </c>
      <c r="B368" s="6" t="s">
        <v>389</v>
      </c>
      <c r="C368" s="6" t="s">
        <v>551</v>
      </c>
      <c r="D368" s="6">
        <v>1</v>
      </c>
      <c r="E368" s="6" t="s">
        <v>1107</v>
      </c>
      <c r="F368" s="6" t="s">
        <v>1527</v>
      </c>
      <c r="G368" s="6" t="s">
        <v>1528</v>
      </c>
      <c r="H368" s="13">
        <f t="shared" si="5"/>
        <v>480</v>
      </c>
      <c r="I368" s="6" t="s">
        <v>1529</v>
      </c>
    </row>
    <row r="369" spans="1:9" x14ac:dyDescent="0.3">
      <c r="A369" s="6" t="s">
        <v>1530</v>
      </c>
      <c r="B369" s="6" t="s">
        <v>387</v>
      </c>
      <c r="C369" s="6" t="s">
        <v>714</v>
      </c>
      <c r="D369" s="6">
        <v>1</v>
      </c>
      <c r="E369" s="6" t="s">
        <v>1005</v>
      </c>
      <c r="F369" s="6" t="s">
        <v>1131</v>
      </c>
      <c r="G369" s="6" t="s">
        <v>987</v>
      </c>
      <c r="H369" s="13">
        <f t="shared" si="5"/>
        <v>123.75</v>
      </c>
      <c r="I369" s="6" t="s">
        <v>981</v>
      </c>
    </row>
    <row r="370" spans="1:9" x14ac:dyDescent="0.3">
      <c r="A370" s="6" t="s">
        <v>1531</v>
      </c>
      <c r="B370" s="6" t="s">
        <v>387</v>
      </c>
      <c r="C370" s="6" t="s">
        <v>717</v>
      </c>
      <c r="D370" s="6">
        <v>1</v>
      </c>
      <c r="E370" s="6" t="s">
        <v>1052</v>
      </c>
      <c r="F370" s="6" t="s">
        <v>1410</v>
      </c>
      <c r="G370" s="6" t="s">
        <v>1184</v>
      </c>
      <c r="H370" s="13">
        <f t="shared" si="5"/>
        <v>123.75</v>
      </c>
      <c r="I370" s="6" t="s">
        <v>981</v>
      </c>
    </row>
    <row r="371" spans="1:9" x14ac:dyDescent="0.3">
      <c r="A371" s="6" t="s">
        <v>1532</v>
      </c>
      <c r="B371" s="6" t="s">
        <v>389</v>
      </c>
      <c r="C371" s="6" t="s">
        <v>733</v>
      </c>
      <c r="D371" s="6">
        <v>1</v>
      </c>
      <c r="E371" s="6" t="s">
        <v>980</v>
      </c>
      <c r="F371" s="6" t="s">
        <v>1473</v>
      </c>
      <c r="G371" s="6" t="s">
        <v>1142</v>
      </c>
      <c r="H371" s="13">
        <f t="shared" si="5"/>
        <v>542.5</v>
      </c>
      <c r="I371" s="6" t="s">
        <v>1013</v>
      </c>
    </row>
    <row r="372" spans="1:9" x14ac:dyDescent="0.3">
      <c r="A372" s="6" t="s">
        <v>1533</v>
      </c>
      <c r="B372" s="6" t="s">
        <v>387</v>
      </c>
      <c r="C372" s="6" t="s">
        <v>774</v>
      </c>
      <c r="D372" s="6">
        <v>1</v>
      </c>
      <c r="E372" s="6" t="s">
        <v>1221</v>
      </c>
      <c r="F372" s="6" t="s">
        <v>984</v>
      </c>
      <c r="G372" s="6" t="s">
        <v>1051</v>
      </c>
      <c r="H372" s="13">
        <f t="shared" si="5"/>
        <v>122.5</v>
      </c>
      <c r="I372" s="6" t="s">
        <v>1534</v>
      </c>
    </row>
    <row r="373" spans="1:9" x14ac:dyDescent="0.3">
      <c r="A373" s="6" t="s">
        <v>1535</v>
      </c>
      <c r="B373" s="6" t="s">
        <v>391</v>
      </c>
      <c r="C373" s="6" t="s">
        <v>447</v>
      </c>
      <c r="D373" s="6">
        <v>1</v>
      </c>
      <c r="E373" s="6" t="s">
        <v>1000</v>
      </c>
      <c r="F373" s="6" t="s">
        <v>1018</v>
      </c>
      <c r="G373" s="6" t="s">
        <v>1043</v>
      </c>
      <c r="H373" s="13">
        <f t="shared" si="5"/>
        <v>133.75</v>
      </c>
      <c r="I373" s="6" t="s">
        <v>1536</v>
      </c>
    </row>
    <row r="374" spans="1:9" x14ac:dyDescent="0.3">
      <c r="A374" s="6" t="s">
        <v>1537</v>
      </c>
      <c r="B374" s="6" t="s">
        <v>391</v>
      </c>
      <c r="C374" s="6" t="s">
        <v>449</v>
      </c>
      <c r="D374" s="6">
        <v>1</v>
      </c>
      <c r="E374" s="6" t="s">
        <v>1000</v>
      </c>
      <c r="F374" s="6" t="s">
        <v>1018</v>
      </c>
      <c r="G374" s="6" t="s">
        <v>1022</v>
      </c>
      <c r="H374" s="13">
        <f t="shared" si="5"/>
        <v>175</v>
      </c>
      <c r="I374" s="6" t="s">
        <v>1020</v>
      </c>
    </row>
    <row r="375" spans="1:9" x14ac:dyDescent="0.3">
      <c r="A375" s="6" t="s">
        <v>1538</v>
      </c>
      <c r="B375" s="6" t="s">
        <v>391</v>
      </c>
      <c r="C375" s="6" t="s">
        <v>459</v>
      </c>
      <c r="D375" s="6">
        <v>1</v>
      </c>
      <c r="E375" s="6" t="s">
        <v>1018</v>
      </c>
      <c r="F375" s="6" t="s">
        <v>1051</v>
      </c>
      <c r="G375" s="6" t="s">
        <v>1214</v>
      </c>
      <c r="H375" s="13">
        <f t="shared" si="5"/>
        <v>133.75</v>
      </c>
      <c r="I375" s="6" t="s">
        <v>1536</v>
      </c>
    </row>
    <row r="376" spans="1:9" x14ac:dyDescent="0.3">
      <c r="A376" s="6" t="s">
        <v>1539</v>
      </c>
      <c r="B376" s="6" t="s">
        <v>391</v>
      </c>
      <c r="C376" s="6" t="s">
        <v>782</v>
      </c>
      <c r="D376" s="6">
        <v>1</v>
      </c>
      <c r="E376" s="6" t="s">
        <v>1000</v>
      </c>
      <c r="F376" s="6" t="s">
        <v>1018</v>
      </c>
      <c r="G376" s="6" t="s">
        <v>1030</v>
      </c>
      <c r="H376" s="13">
        <f t="shared" si="5"/>
        <v>175</v>
      </c>
      <c r="I376" s="6" t="s">
        <v>1020</v>
      </c>
    </row>
    <row r="377" spans="1:9" x14ac:dyDescent="0.3">
      <c r="A377" s="6" t="s">
        <v>1540</v>
      </c>
      <c r="B377" s="6" t="s">
        <v>395</v>
      </c>
      <c r="C377" s="6" t="s">
        <v>696</v>
      </c>
      <c r="D377" s="6">
        <v>1</v>
      </c>
      <c r="E377" s="6" t="s">
        <v>991</v>
      </c>
      <c r="F377" s="6" t="s">
        <v>991</v>
      </c>
      <c r="G377" s="6" t="s">
        <v>1068</v>
      </c>
      <c r="H377" s="13">
        <f t="shared" si="5"/>
        <v>123.75</v>
      </c>
      <c r="I377" s="6" t="s">
        <v>981</v>
      </c>
    </row>
    <row r="378" spans="1:9" x14ac:dyDescent="0.3">
      <c r="A378" s="6" t="s">
        <v>1541</v>
      </c>
      <c r="B378" s="6" t="s">
        <v>395</v>
      </c>
      <c r="C378" s="6" t="s">
        <v>702</v>
      </c>
      <c r="D378" s="6">
        <v>1</v>
      </c>
      <c r="E378" s="6" t="s">
        <v>1015</v>
      </c>
      <c r="F378" s="6" t="s">
        <v>1122</v>
      </c>
      <c r="G378" s="6" t="s">
        <v>1542</v>
      </c>
      <c r="H378" s="13">
        <f t="shared" si="5"/>
        <v>123.75</v>
      </c>
      <c r="I378" s="6" t="s">
        <v>981</v>
      </c>
    </row>
    <row r="379" spans="1:9" x14ac:dyDescent="0.3">
      <c r="A379" s="6" t="s">
        <v>1543</v>
      </c>
      <c r="B379" s="6" t="s">
        <v>397</v>
      </c>
      <c r="C379" s="6" t="s">
        <v>216</v>
      </c>
      <c r="D379" s="6">
        <v>1</v>
      </c>
      <c r="E379" s="6">
        <v>7.0000000000000001E-3</v>
      </c>
      <c r="F379" s="6">
        <v>3.5999999999999997E-2</v>
      </c>
      <c r="G379" s="6">
        <v>4.0000000000000001E-3</v>
      </c>
      <c r="H379" s="13">
        <f t="shared" si="5"/>
        <v>222.5</v>
      </c>
      <c r="I379" s="6">
        <v>178</v>
      </c>
    </row>
    <row r="380" spans="1:9" x14ac:dyDescent="0.3">
      <c r="A380" s="6" t="s">
        <v>1544</v>
      </c>
      <c r="B380" s="6" t="s">
        <v>399</v>
      </c>
      <c r="C380" s="6" t="s">
        <v>434</v>
      </c>
      <c r="D380" s="6">
        <v>1</v>
      </c>
      <c r="E380" s="6" t="s">
        <v>1011</v>
      </c>
      <c r="F380" s="6" t="s">
        <v>1127</v>
      </c>
      <c r="G380" s="6" t="s">
        <v>980</v>
      </c>
      <c r="H380" s="13">
        <f t="shared" si="5"/>
        <v>128.75</v>
      </c>
      <c r="I380" s="6" t="s">
        <v>1023</v>
      </c>
    </row>
    <row r="381" spans="1:9" x14ac:dyDescent="0.3">
      <c r="A381" s="6" t="s">
        <v>1545</v>
      </c>
      <c r="B381" s="6" t="s">
        <v>399</v>
      </c>
      <c r="C381" s="6" t="s">
        <v>459</v>
      </c>
      <c r="D381" s="6">
        <v>1</v>
      </c>
      <c r="E381" s="6" t="s">
        <v>1061</v>
      </c>
      <c r="F381" s="6" t="s">
        <v>1019</v>
      </c>
      <c r="G381" s="6" t="s">
        <v>1011</v>
      </c>
      <c r="H381" s="13">
        <f t="shared" si="5"/>
        <v>128.75</v>
      </c>
      <c r="I381" s="6" t="s">
        <v>1023</v>
      </c>
    </row>
    <row r="382" spans="1:9" x14ac:dyDescent="0.3">
      <c r="A382" s="6" t="s">
        <v>1546</v>
      </c>
      <c r="B382" s="6" t="s">
        <v>399</v>
      </c>
      <c r="C382" s="6" t="s">
        <v>459</v>
      </c>
      <c r="D382" s="6">
        <v>1</v>
      </c>
      <c r="E382" s="6" t="s">
        <v>1061</v>
      </c>
      <c r="F382" s="6" t="s">
        <v>1019</v>
      </c>
      <c r="G382" s="6" t="s">
        <v>1011</v>
      </c>
      <c r="H382" s="13">
        <f t="shared" si="5"/>
        <v>128.75</v>
      </c>
      <c r="I382" s="6" t="s">
        <v>1023</v>
      </c>
    </row>
    <row r="383" spans="1:9" x14ac:dyDescent="0.3">
      <c r="A383" s="6" t="s">
        <v>1547</v>
      </c>
      <c r="B383" s="6" t="s">
        <v>399</v>
      </c>
      <c r="C383" s="6" t="s">
        <v>617</v>
      </c>
      <c r="D383" s="6">
        <v>1</v>
      </c>
      <c r="E383" s="6" t="s">
        <v>996</v>
      </c>
      <c r="F383" s="6" t="s">
        <v>1000</v>
      </c>
      <c r="G383" s="6" t="s">
        <v>1016</v>
      </c>
      <c r="H383" s="13">
        <f t="shared" si="5"/>
        <v>150</v>
      </c>
      <c r="I383" s="6" t="s">
        <v>1065</v>
      </c>
    </row>
    <row r="384" spans="1:9" x14ac:dyDescent="0.3">
      <c r="A384" s="6" t="s">
        <v>1548</v>
      </c>
      <c r="B384" s="6" t="s">
        <v>399</v>
      </c>
      <c r="C384" s="6" t="s">
        <v>617</v>
      </c>
      <c r="D384" s="6">
        <v>1</v>
      </c>
      <c r="E384" s="6" t="s">
        <v>996</v>
      </c>
      <c r="F384" s="6" t="s">
        <v>1000</v>
      </c>
      <c r="G384" s="6" t="s">
        <v>1016</v>
      </c>
      <c r="H384" s="13">
        <f t="shared" si="5"/>
        <v>150</v>
      </c>
      <c r="I384" s="6" t="s">
        <v>1065</v>
      </c>
    </row>
    <row r="385" spans="1:9" x14ac:dyDescent="0.3">
      <c r="A385" s="6" t="s">
        <v>1549</v>
      </c>
      <c r="B385" s="6" t="s">
        <v>401</v>
      </c>
      <c r="C385" s="6" t="s">
        <v>669</v>
      </c>
      <c r="D385" s="6">
        <v>1</v>
      </c>
      <c r="E385" s="6" t="s">
        <v>995</v>
      </c>
      <c r="F385" s="6" t="s">
        <v>1015</v>
      </c>
      <c r="G385" s="6" t="s">
        <v>1550</v>
      </c>
      <c r="H385" s="13">
        <f t="shared" si="5"/>
        <v>712.5</v>
      </c>
      <c r="I385" s="6" t="s">
        <v>1164</v>
      </c>
    </row>
    <row r="386" spans="1:9" x14ac:dyDescent="0.3">
      <c r="A386" s="6" t="s">
        <v>1551</v>
      </c>
      <c r="B386" s="6" t="s">
        <v>403</v>
      </c>
      <c r="C386" s="6" t="s">
        <v>479</v>
      </c>
      <c r="D386" s="6">
        <v>1</v>
      </c>
      <c r="E386" s="6" t="s">
        <v>1122</v>
      </c>
      <c r="F386" s="6" t="s">
        <v>1311</v>
      </c>
      <c r="G386" s="6" t="s">
        <v>992</v>
      </c>
      <c r="H386" s="13">
        <f t="shared" si="5"/>
        <v>123.75</v>
      </c>
      <c r="I386" s="6" t="s">
        <v>981</v>
      </c>
    </row>
    <row r="387" spans="1:9" x14ac:dyDescent="0.3">
      <c r="A387" s="6" t="s">
        <v>1552</v>
      </c>
      <c r="B387" s="6" t="s">
        <v>405</v>
      </c>
      <c r="C387" s="6" t="s">
        <v>494</v>
      </c>
      <c r="D387" s="6">
        <v>1</v>
      </c>
      <c r="E387" s="6" t="s">
        <v>1061</v>
      </c>
      <c r="F387" s="6" t="s">
        <v>1249</v>
      </c>
      <c r="G387" s="6" t="s">
        <v>1386</v>
      </c>
      <c r="H387" s="13">
        <f t="shared" ref="H387:H450" si="6">I387*1.25</f>
        <v>491.25</v>
      </c>
      <c r="I387" s="6" t="s">
        <v>1006</v>
      </c>
    </row>
    <row r="388" spans="1:9" x14ac:dyDescent="0.3">
      <c r="A388" s="6" t="s">
        <v>1553</v>
      </c>
      <c r="B388" s="6" t="s">
        <v>405</v>
      </c>
      <c r="C388" s="6" t="s">
        <v>562</v>
      </c>
      <c r="D388" s="6">
        <v>1</v>
      </c>
      <c r="E388" s="6" t="s">
        <v>980</v>
      </c>
      <c r="F388" s="6" t="s">
        <v>1314</v>
      </c>
      <c r="G388" s="6" t="s">
        <v>1087</v>
      </c>
      <c r="H388" s="13">
        <f t="shared" si="6"/>
        <v>542.5</v>
      </c>
      <c r="I388" s="6" t="s">
        <v>1013</v>
      </c>
    </row>
    <row r="389" spans="1:9" x14ac:dyDescent="0.3">
      <c r="A389" s="13" t="s">
        <v>1554</v>
      </c>
      <c r="B389" s="13" t="s">
        <v>405</v>
      </c>
      <c r="C389" s="13" t="s">
        <v>418</v>
      </c>
      <c r="D389" s="13">
        <v>1</v>
      </c>
      <c r="E389" s="13">
        <v>1.0000000000000001E-5</v>
      </c>
      <c r="F389" s="13">
        <v>1.0000000000000001E-5</v>
      </c>
      <c r="G389" s="13">
        <v>1.0999999999999999E-2</v>
      </c>
      <c r="H389" s="13">
        <f t="shared" si="6"/>
        <v>741.25</v>
      </c>
      <c r="I389" s="13">
        <v>593</v>
      </c>
    </row>
    <row r="390" spans="1:9" x14ac:dyDescent="0.3">
      <c r="A390" s="6" t="s">
        <v>1555</v>
      </c>
      <c r="B390" s="6" t="s">
        <v>403</v>
      </c>
      <c r="C390" s="6" t="s">
        <v>794</v>
      </c>
      <c r="D390" s="6">
        <v>1</v>
      </c>
      <c r="E390" s="6">
        <v>7.0000000000000001E-3</v>
      </c>
      <c r="F390" s="6" t="s">
        <v>997</v>
      </c>
      <c r="G390" s="6" t="s">
        <v>1018</v>
      </c>
      <c r="H390" s="13">
        <f t="shared" si="6"/>
        <v>222.5</v>
      </c>
      <c r="I390" s="6" t="s">
        <v>989</v>
      </c>
    </row>
    <row r="391" spans="1:9" x14ac:dyDescent="0.3">
      <c r="A391" s="6" t="s">
        <v>1556</v>
      </c>
      <c r="B391" s="6" t="s">
        <v>403</v>
      </c>
      <c r="C391" s="6" t="s">
        <v>794</v>
      </c>
      <c r="D391" s="6">
        <v>1</v>
      </c>
      <c r="E391" s="6" t="s">
        <v>1061</v>
      </c>
      <c r="F391" s="6" t="s">
        <v>1314</v>
      </c>
      <c r="G391" s="6" t="s">
        <v>1015</v>
      </c>
      <c r="H391" s="13">
        <f t="shared" si="6"/>
        <v>222.5</v>
      </c>
      <c r="I391" s="6" t="s">
        <v>989</v>
      </c>
    </row>
    <row r="392" spans="1:9" x14ac:dyDescent="0.3">
      <c r="A392" s="13" t="s">
        <v>1557</v>
      </c>
      <c r="B392" s="13" t="s">
        <v>403</v>
      </c>
      <c r="C392" s="13" t="s">
        <v>683</v>
      </c>
      <c r="D392" s="13">
        <v>1</v>
      </c>
      <c r="E392" s="13">
        <f>0.022/2</f>
        <v>1.0999999999999999E-2</v>
      </c>
      <c r="F392" s="13">
        <f>0.112/2</f>
        <v>5.6000000000000001E-2</v>
      </c>
      <c r="G392" s="13">
        <f>0.012/2</f>
        <v>6.0000000000000001E-3</v>
      </c>
      <c r="H392" s="13">
        <f t="shared" si="6"/>
        <v>222.5</v>
      </c>
      <c r="I392" s="13" t="s">
        <v>989</v>
      </c>
    </row>
    <row r="393" spans="1:9" x14ac:dyDescent="0.3">
      <c r="A393" s="13" t="s">
        <v>1558</v>
      </c>
      <c r="B393" s="13" t="s">
        <v>683</v>
      </c>
      <c r="C393" s="13" t="s">
        <v>797</v>
      </c>
      <c r="D393" s="13">
        <v>1</v>
      </c>
      <c r="E393" s="13">
        <f>0.022/2</f>
        <v>1.0999999999999999E-2</v>
      </c>
      <c r="F393" s="13">
        <f>0.112/2</f>
        <v>5.6000000000000001E-2</v>
      </c>
      <c r="G393" s="13">
        <f>0.012/2</f>
        <v>6.0000000000000001E-3</v>
      </c>
      <c r="H393" s="13">
        <f t="shared" si="6"/>
        <v>222.5</v>
      </c>
      <c r="I393" s="13" t="s">
        <v>989</v>
      </c>
    </row>
    <row r="394" spans="1:9" x14ac:dyDescent="0.3">
      <c r="A394" s="6" t="s">
        <v>1559</v>
      </c>
      <c r="B394" s="6" t="s">
        <v>409</v>
      </c>
      <c r="C394" s="6" t="s">
        <v>741</v>
      </c>
      <c r="D394" s="6">
        <v>1</v>
      </c>
      <c r="E394" s="6" t="s">
        <v>992</v>
      </c>
      <c r="F394" s="6" t="s">
        <v>1064</v>
      </c>
      <c r="G394" s="6" t="s">
        <v>1560</v>
      </c>
      <c r="H394" s="13">
        <f t="shared" si="6"/>
        <v>170</v>
      </c>
      <c r="I394" s="6" t="s">
        <v>1120</v>
      </c>
    </row>
    <row r="395" spans="1:9" x14ac:dyDescent="0.3">
      <c r="A395" s="6" t="s">
        <v>1561</v>
      </c>
      <c r="B395" s="6" t="s">
        <v>411</v>
      </c>
      <c r="C395" s="6" t="s">
        <v>467</v>
      </c>
      <c r="D395" s="6">
        <v>1</v>
      </c>
      <c r="E395" s="6" t="s">
        <v>991</v>
      </c>
      <c r="F395" s="6" t="s">
        <v>1107</v>
      </c>
      <c r="G395" s="6" t="s">
        <v>1500</v>
      </c>
      <c r="H395" s="13">
        <f t="shared" si="6"/>
        <v>152.5</v>
      </c>
      <c r="I395" s="6" t="s">
        <v>1129</v>
      </c>
    </row>
    <row r="396" spans="1:9" x14ac:dyDescent="0.3">
      <c r="A396" s="6" t="s">
        <v>1562</v>
      </c>
      <c r="B396" s="6" t="s">
        <v>413</v>
      </c>
      <c r="C396" s="6" t="s">
        <v>470</v>
      </c>
      <c r="D396" s="6">
        <v>1</v>
      </c>
      <c r="E396" s="6" t="s">
        <v>978</v>
      </c>
      <c r="F396" s="6" t="s">
        <v>1036</v>
      </c>
      <c r="G396" s="6" t="s">
        <v>978</v>
      </c>
      <c r="H396" s="13">
        <f t="shared" si="6"/>
        <v>102.5</v>
      </c>
      <c r="I396" s="6" t="s">
        <v>1044</v>
      </c>
    </row>
    <row r="397" spans="1:9" x14ac:dyDescent="0.3">
      <c r="A397" s="6" t="s">
        <v>1563</v>
      </c>
      <c r="B397" s="6" t="s">
        <v>413</v>
      </c>
      <c r="C397" s="6" t="s">
        <v>470</v>
      </c>
      <c r="D397" s="6">
        <v>1</v>
      </c>
      <c r="E397" s="6" t="s">
        <v>978</v>
      </c>
      <c r="F397" s="6" t="s">
        <v>1036</v>
      </c>
      <c r="G397" s="6" t="s">
        <v>978</v>
      </c>
      <c r="H397" s="13">
        <f t="shared" si="6"/>
        <v>102.5</v>
      </c>
      <c r="I397" s="6" t="s">
        <v>1044</v>
      </c>
    </row>
    <row r="398" spans="1:9" x14ac:dyDescent="0.3">
      <c r="A398" s="6" t="s">
        <v>1564</v>
      </c>
      <c r="B398" s="6" t="s">
        <v>422</v>
      </c>
      <c r="C398" s="6" t="s">
        <v>420</v>
      </c>
      <c r="D398" s="6">
        <v>1</v>
      </c>
      <c r="E398" s="6" t="s">
        <v>980</v>
      </c>
      <c r="F398" s="6" t="s">
        <v>1070</v>
      </c>
      <c r="G398" s="6" t="s">
        <v>996</v>
      </c>
      <c r="H398" s="13">
        <f t="shared" si="6"/>
        <v>131.25</v>
      </c>
      <c r="I398" s="6" t="s">
        <v>1031</v>
      </c>
    </row>
    <row r="399" spans="1:9" x14ac:dyDescent="0.3">
      <c r="A399" s="6" t="s">
        <v>1565</v>
      </c>
      <c r="B399" s="6" t="s">
        <v>426</v>
      </c>
      <c r="C399" s="6" t="s">
        <v>551</v>
      </c>
      <c r="D399" s="6">
        <v>1</v>
      </c>
      <c r="E399" s="6" t="s">
        <v>1018</v>
      </c>
      <c r="F399" s="6" t="s">
        <v>1030</v>
      </c>
      <c r="G399" s="6" t="s">
        <v>1314</v>
      </c>
      <c r="H399" s="13">
        <f t="shared" si="6"/>
        <v>542.5</v>
      </c>
      <c r="I399" s="6" t="s">
        <v>1013</v>
      </c>
    </row>
    <row r="400" spans="1:9" x14ac:dyDescent="0.3">
      <c r="A400" s="6" t="s">
        <v>1566</v>
      </c>
      <c r="B400" s="6" t="s">
        <v>426</v>
      </c>
      <c r="C400" s="6" t="s">
        <v>572</v>
      </c>
      <c r="D400" s="6">
        <v>1</v>
      </c>
      <c r="E400" s="6" t="s">
        <v>1015</v>
      </c>
      <c r="F400" s="6" t="s">
        <v>988</v>
      </c>
      <c r="G400" s="6" t="s">
        <v>1064</v>
      </c>
      <c r="H400" s="13">
        <f t="shared" si="6"/>
        <v>437.5</v>
      </c>
      <c r="I400" s="6" t="s">
        <v>1413</v>
      </c>
    </row>
    <row r="401" spans="1:9" x14ac:dyDescent="0.3">
      <c r="A401" s="6" t="s">
        <v>1567</v>
      </c>
      <c r="B401" s="6" t="s">
        <v>424</v>
      </c>
      <c r="C401" s="6" t="s">
        <v>609</v>
      </c>
      <c r="D401" s="6">
        <v>1</v>
      </c>
      <c r="E401" s="6" t="s">
        <v>1327</v>
      </c>
      <c r="F401" s="6" t="s">
        <v>1568</v>
      </c>
      <c r="G401" s="6" t="s">
        <v>985</v>
      </c>
      <c r="H401" s="13">
        <f t="shared" si="6"/>
        <v>123.75</v>
      </c>
      <c r="I401" s="6" t="s">
        <v>981</v>
      </c>
    </row>
    <row r="402" spans="1:9" x14ac:dyDescent="0.3">
      <c r="A402" s="6" t="s">
        <v>1569</v>
      </c>
      <c r="B402" s="6" t="s">
        <v>424</v>
      </c>
      <c r="C402" s="6" t="s">
        <v>621</v>
      </c>
      <c r="D402" s="6">
        <v>1</v>
      </c>
      <c r="E402" s="6" t="s">
        <v>1061</v>
      </c>
      <c r="F402" s="6" t="s">
        <v>1027</v>
      </c>
      <c r="G402" s="6" t="s">
        <v>1000</v>
      </c>
      <c r="H402" s="13">
        <f t="shared" si="6"/>
        <v>123.75</v>
      </c>
      <c r="I402" s="6" t="s">
        <v>981</v>
      </c>
    </row>
    <row r="403" spans="1:9" x14ac:dyDescent="0.3">
      <c r="A403" s="6" t="s">
        <v>1570</v>
      </c>
      <c r="B403" s="6" t="s">
        <v>424</v>
      </c>
      <c r="C403" s="6" t="s">
        <v>621</v>
      </c>
      <c r="D403" s="6">
        <v>1</v>
      </c>
      <c r="E403" s="6" t="s">
        <v>1011</v>
      </c>
      <c r="F403" s="6" t="s">
        <v>1004</v>
      </c>
      <c r="G403" s="6" t="s">
        <v>1000</v>
      </c>
      <c r="H403" s="13">
        <f t="shared" si="6"/>
        <v>123.75</v>
      </c>
      <c r="I403" s="6" t="s">
        <v>981</v>
      </c>
    </row>
    <row r="404" spans="1:9" x14ac:dyDescent="0.3">
      <c r="A404" s="6" t="s">
        <v>1571</v>
      </c>
      <c r="B404" s="6" t="s">
        <v>424</v>
      </c>
      <c r="C404" s="6" t="s">
        <v>621</v>
      </c>
      <c r="D404" s="6">
        <v>1</v>
      </c>
      <c r="E404" s="6" t="s">
        <v>1015</v>
      </c>
      <c r="F404" s="6" t="s">
        <v>992</v>
      </c>
      <c r="G404" s="6" t="s">
        <v>987</v>
      </c>
      <c r="H404" s="13">
        <f t="shared" si="6"/>
        <v>123.75</v>
      </c>
      <c r="I404" s="6" t="s">
        <v>981</v>
      </c>
    </row>
    <row r="405" spans="1:9" x14ac:dyDescent="0.3">
      <c r="A405" s="13" t="s">
        <v>1572</v>
      </c>
      <c r="B405" s="13" t="s">
        <v>424</v>
      </c>
      <c r="C405" s="13" t="s">
        <v>432</v>
      </c>
      <c r="D405" s="13">
        <v>1</v>
      </c>
      <c r="E405" s="13">
        <f>0.03/1</f>
        <v>0.03</v>
      </c>
      <c r="F405" s="13">
        <f>0.068/2</f>
        <v>3.4000000000000002E-2</v>
      </c>
      <c r="G405" s="13">
        <f>0.006/2</f>
        <v>3.0000000000000001E-3</v>
      </c>
      <c r="H405" s="13">
        <f t="shared" si="6"/>
        <v>123.75</v>
      </c>
      <c r="I405" s="13" t="s">
        <v>981</v>
      </c>
    </row>
    <row r="406" spans="1:9" x14ac:dyDescent="0.3">
      <c r="A406" s="13" t="s">
        <v>1573</v>
      </c>
      <c r="B406" s="13" t="s">
        <v>432</v>
      </c>
      <c r="C406" s="13" t="s">
        <v>655</v>
      </c>
      <c r="D406" s="13">
        <v>1</v>
      </c>
      <c r="E406" s="13">
        <f>0.03/1</f>
        <v>0.03</v>
      </c>
      <c r="F406" s="13">
        <f>0.068/2</f>
        <v>3.4000000000000002E-2</v>
      </c>
      <c r="G406" s="13">
        <f>0.006/2</f>
        <v>3.0000000000000001E-3</v>
      </c>
      <c r="H406" s="13">
        <f t="shared" si="6"/>
        <v>123.75</v>
      </c>
      <c r="I406" s="13" t="s">
        <v>981</v>
      </c>
    </row>
    <row r="407" spans="1:9" x14ac:dyDescent="0.3">
      <c r="A407" s="6" t="s">
        <v>1574</v>
      </c>
      <c r="B407" s="6" t="s">
        <v>428</v>
      </c>
      <c r="C407" s="6" t="s">
        <v>637</v>
      </c>
      <c r="D407" s="6">
        <v>1</v>
      </c>
      <c r="E407" s="6" t="s">
        <v>1011</v>
      </c>
      <c r="F407" s="6" t="s">
        <v>1068</v>
      </c>
      <c r="G407" s="6" t="s">
        <v>1202</v>
      </c>
      <c r="H407" s="13">
        <f t="shared" si="6"/>
        <v>250</v>
      </c>
      <c r="I407" s="6" t="s">
        <v>29</v>
      </c>
    </row>
    <row r="408" spans="1:9" x14ac:dyDescent="0.3">
      <c r="A408" s="6" t="s">
        <v>1575</v>
      </c>
      <c r="B408" s="6" t="s">
        <v>428</v>
      </c>
      <c r="C408" s="6" t="s">
        <v>768</v>
      </c>
      <c r="D408" s="6">
        <v>1</v>
      </c>
      <c r="E408" s="6" t="s">
        <v>1027</v>
      </c>
      <c r="F408" s="6" t="s">
        <v>1363</v>
      </c>
      <c r="G408" s="6" t="s">
        <v>1127</v>
      </c>
      <c r="H408" s="13">
        <f t="shared" si="6"/>
        <v>250</v>
      </c>
      <c r="I408" s="6" t="s">
        <v>29</v>
      </c>
    </row>
    <row r="409" spans="1:9" x14ac:dyDescent="0.3">
      <c r="A409" s="6" t="s">
        <v>1576</v>
      </c>
      <c r="B409" s="6" t="s">
        <v>430</v>
      </c>
      <c r="C409" s="6" t="s">
        <v>623</v>
      </c>
      <c r="D409" s="6">
        <v>1</v>
      </c>
      <c r="E409" s="6" t="s">
        <v>1000</v>
      </c>
      <c r="F409" s="6" t="s">
        <v>1015</v>
      </c>
      <c r="G409" s="6" t="s">
        <v>1102</v>
      </c>
      <c r="H409" s="13">
        <f t="shared" si="6"/>
        <v>148.75</v>
      </c>
      <c r="I409" s="6" t="s">
        <v>1159</v>
      </c>
    </row>
    <row r="410" spans="1:9" x14ac:dyDescent="0.3">
      <c r="A410" s="6" t="s">
        <v>1577</v>
      </c>
      <c r="B410" s="6" t="s">
        <v>434</v>
      </c>
      <c r="C410" s="6" t="s">
        <v>570</v>
      </c>
      <c r="D410" s="6">
        <v>1</v>
      </c>
      <c r="E410" s="6" t="s">
        <v>991</v>
      </c>
      <c r="F410" s="6" t="s">
        <v>1011</v>
      </c>
      <c r="G410" s="6" t="s">
        <v>996</v>
      </c>
      <c r="H410" s="13">
        <f t="shared" si="6"/>
        <v>131.25</v>
      </c>
      <c r="I410" s="6" t="s">
        <v>1031</v>
      </c>
    </row>
    <row r="411" spans="1:9" x14ac:dyDescent="0.3">
      <c r="A411" s="6" t="s">
        <v>1578</v>
      </c>
      <c r="B411" s="6" t="s">
        <v>436</v>
      </c>
      <c r="C411" s="6" t="s">
        <v>434</v>
      </c>
      <c r="D411" s="6">
        <v>1</v>
      </c>
      <c r="E411" s="6" t="s">
        <v>1000</v>
      </c>
      <c r="F411" s="6" t="s">
        <v>1018</v>
      </c>
      <c r="G411" s="6" t="s">
        <v>995</v>
      </c>
      <c r="H411" s="13">
        <f t="shared" si="6"/>
        <v>131.25</v>
      </c>
      <c r="I411" s="6" t="s">
        <v>1031</v>
      </c>
    </row>
    <row r="412" spans="1:9" x14ac:dyDescent="0.3">
      <c r="A412" s="6" t="s">
        <v>1579</v>
      </c>
      <c r="B412" s="6" t="s">
        <v>438</v>
      </c>
      <c r="C412" s="6" t="s">
        <v>171</v>
      </c>
      <c r="D412" s="6">
        <v>1</v>
      </c>
      <c r="E412" s="6" t="s">
        <v>1000</v>
      </c>
      <c r="F412" s="6" t="s">
        <v>1000</v>
      </c>
      <c r="G412" s="6" t="s">
        <v>1047</v>
      </c>
      <c r="H412" s="13">
        <f t="shared" si="6"/>
        <v>243.75</v>
      </c>
      <c r="I412" s="6" t="s">
        <v>1145</v>
      </c>
    </row>
    <row r="413" spans="1:9" x14ac:dyDescent="0.3">
      <c r="A413" s="6" t="s">
        <v>1580</v>
      </c>
      <c r="B413" s="6" t="s">
        <v>445</v>
      </c>
      <c r="C413" s="6" t="s">
        <v>177</v>
      </c>
      <c r="D413" s="6">
        <v>1</v>
      </c>
      <c r="E413" s="6" t="s">
        <v>1000</v>
      </c>
      <c r="F413" s="6" t="s">
        <v>1027</v>
      </c>
      <c r="G413" s="6" t="s">
        <v>1581</v>
      </c>
      <c r="H413" s="13">
        <f t="shared" si="6"/>
        <v>887.5</v>
      </c>
      <c r="I413" s="6" t="s">
        <v>1191</v>
      </c>
    </row>
    <row r="414" spans="1:9" x14ac:dyDescent="0.3">
      <c r="A414" s="6" t="s">
        <v>1582</v>
      </c>
      <c r="B414" s="6" t="s">
        <v>443</v>
      </c>
      <c r="C414" s="6" t="s">
        <v>541</v>
      </c>
      <c r="D414" s="6">
        <v>1</v>
      </c>
      <c r="E414" s="6" t="s">
        <v>1051</v>
      </c>
      <c r="F414" s="6" t="s">
        <v>1327</v>
      </c>
      <c r="G414" s="6" t="s">
        <v>1261</v>
      </c>
      <c r="H414" s="13">
        <f t="shared" si="6"/>
        <v>102.5</v>
      </c>
      <c r="I414" s="6" t="s">
        <v>1044</v>
      </c>
    </row>
    <row r="415" spans="1:9" x14ac:dyDescent="0.3">
      <c r="A415" s="6" t="s">
        <v>1583</v>
      </c>
      <c r="B415" s="6" t="s">
        <v>443</v>
      </c>
      <c r="C415" s="6" t="s">
        <v>541</v>
      </c>
      <c r="D415" s="6">
        <v>1</v>
      </c>
      <c r="E415" s="6" t="s">
        <v>1011</v>
      </c>
      <c r="F415" s="6" t="s">
        <v>1327</v>
      </c>
      <c r="G415" s="6" t="s">
        <v>1261</v>
      </c>
      <c r="H415" s="13">
        <f t="shared" si="6"/>
        <v>100</v>
      </c>
      <c r="I415" s="6" t="s">
        <v>1236</v>
      </c>
    </row>
    <row r="416" spans="1:9" x14ac:dyDescent="0.3">
      <c r="A416" s="6" t="s">
        <v>1584</v>
      </c>
      <c r="B416" s="6" t="s">
        <v>447</v>
      </c>
      <c r="C416" s="6" t="s">
        <v>675</v>
      </c>
      <c r="D416" s="6">
        <v>1</v>
      </c>
      <c r="E416" s="6" t="s">
        <v>1015</v>
      </c>
      <c r="F416" s="6" t="s">
        <v>1051</v>
      </c>
      <c r="G416" s="6" t="s">
        <v>1214</v>
      </c>
      <c r="H416" s="13">
        <f t="shared" si="6"/>
        <v>133.75</v>
      </c>
      <c r="I416" s="6" t="s">
        <v>1536</v>
      </c>
    </row>
    <row r="417" spans="1:9" x14ac:dyDescent="0.3">
      <c r="A417" s="6" t="s">
        <v>1585</v>
      </c>
      <c r="B417" s="6" t="s">
        <v>449</v>
      </c>
      <c r="C417" s="6" t="s">
        <v>459</v>
      </c>
      <c r="D417" s="6">
        <v>1</v>
      </c>
      <c r="E417" s="6" t="s">
        <v>991</v>
      </c>
      <c r="F417" s="6" t="s">
        <v>1015</v>
      </c>
      <c r="G417" s="6" t="s">
        <v>1092</v>
      </c>
      <c r="H417" s="13">
        <f t="shared" si="6"/>
        <v>175</v>
      </c>
      <c r="I417" s="6" t="s">
        <v>1020</v>
      </c>
    </row>
    <row r="418" spans="1:9" x14ac:dyDescent="0.3">
      <c r="A418" s="6" t="s">
        <v>3109</v>
      </c>
      <c r="B418" s="6" t="s">
        <v>3013</v>
      </c>
      <c r="C418" s="6" t="s">
        <v>3040</v>
      </c>
      <c r="D418" s="6">
        <v>1</v>
      </c>
      <c r="E418" s="6">
        <v>1.2999999999999999E-2</v>
      </c>
      <c r="F418" s="6">
        <v>5.8999999999999997E-2</v>
      </c>
      <c r="G418" s="6">
        <v>6.0000000000000001E-3</v>
      </c>
      <c r="H418" s="13">
        <f t="shared" si="6"/>
        <v>170</v>
      </c>
      <c r="I418" s="6">
        <v>136</v>
      </c>
    </row>
    <row r="419" spans="1:9" x14ac:dyDescent="0.3">
      <c r="A419" s="6" t="s">
        <v>3110</v>
      </c>
      <c r="B419" s="6" t="s">
        <v>3013</v>
      </c>
      <c r="C419" s="6" t="s">
        <v>477</v>
      </c>
      <c r="D419" s="6">
        <v>1</v>
      </c>
      <c r="E419" s="6">
        <v>6.0000000000000001E-3</v>
      </c>
      <c r="F419" s="6">
        <v>1.9E-2</v>
      </c>
      <c r="G419" s="6">
        <v>3.0000000000000001E-3</v>
      </c>
      <c r="H419" s="13">
        <f t="shared" si="6"/>
        <v>170</v>
      </c>
      <c r="I419" s="6">
        <v>136</v>
      </c>
    </row>
    <row r="420" spans="1:9" x14ac:dyDescent="0.3">
      <c r="A420" s="6" t="s">
        <v>3111</v>
      </c>
      <c r="B420" s="6" t="s">
        <v>3013</v>
      </c>
      <c r="C420" s="6" t="s">
        <v>332</v>
      </c>
      <c r="D420" s="6">
        <v>1</v>
      </c>
      <c r="E420" s="6">
        <v>1.6E-2</v>
      </c>
      <c r="F420" s="6">
        <v>0.08</v>
      </c>
      <c r="G420" s="6">
        <v>8.9999999999999993E-3</v>
      </c>
      <c r="H420" s="13">
        <f t="shared" si="6"/>
        <v>130</v>
      </c>
      <c r="I420" s="6">
        <v>104</v>
      </c>
    </row>
    <row r="421" spans="1:9" x14ac:dyDescent="0.3">
      <c r="A421" s="6" t="s">
        <v>1586</v>
      </c>
      <c r="B421" s="6" t="s">
        <v>453</v>
      </c>
      <c r="C421" s="6" t="s">
        <v>564</v>
      </c>
      <c r="D421" s="6">
        <v>1</v>
      </c>
      <c r="E421" s="6" t="s">
        <v>978</v>
      </c>
      <c r="F421" s="6" t="s">
        <v>1116</v>
      </c>
      <c r="G421" s="6" t="s">
        <v>980</v>
      </c>
      <c r="H421" s="13">
        <f t="shared" si="6"/>
        <v>245</v>
      </c>
      <c r="I421" s="6" t="s">
        <v>1132</v>
      </c>
    </row>
    <row r="422" spans="1:9" x14ac:dyDescent="0.3">
      <c r="A422" s="6" t="s">
        <v>1587</v>
      </c>
      <c r="B422" s="6" t="s">
        <v>457</v>
      </c>
      <c r="C422" s="6" t="s">
        <v>455</v>
      </c>
      <c r="D422" s="6">
        <v>1</v>
      </c>
      <c r="E422" s="6" t="s">
        <v>995</v>
      </c>
      <c r="F422" s="6" t="s">
        <v>996</v>
      </c>
      <c r="G422" s="6" t="s">
        <v>995</v>
      </c>
      <c r="H422" s="13">
        <f t="shared" si="6"/>
        <v>100</v>
      </c>
      <c r="I422" s="6" t="s">
        <v>1236</v>
      </c>
    </row>
    <row r="423" spans="1:9" x14ac:dyDescent="0.3">
      <c r="A423" s="6" t="s">
        <v>1588</v>
      </c>
      <c r="B423" s="6" t="s">
        <v>461</v>
      </c>
      <c r="C423" s="6" t="s">
        <v>463</v>
      </c>
      <c r="D423" s="6">
        <v>1</v>
      </c>
      <c r="E423" s="6" t="s">
        <v>995</v>
      </c>
      <c r="F423" s="6" t="s">
        <v>1015</v>
      </c>
      <c r="G423" s="6" t="s">
        <v>1589</v>
      </c>
      <c r="H423" s="13">
        <f t="shared" si="6"/>
        <v>702.5</v>
      </c>
      <c r="I423" s="6" t="s">
        <v>1590</v>
      </c>
    </row>
    <row r="424" spans="1:9" x14ac:dyDescent="0.3">
      <c r="A424" s="6" t="s">
        <v>1591</v>
      </c>
      <c r="B424" s="6" t="s">
        <v>459</v>
      </c>
      <c r="C424" s="6" t="s">
        <v>585</v>
      </c>
      <c r="D424" s="6">
        <v>1</v>
      </c>
      <c r="E424" s="6" t="s">
        <v>1018</v>
      </c>
      <c r="F424" s="6" t="s">
        <v>1011</v>
      </c>
      <c r="G424" s="6" t="s">
        <v>1059</v>
      </c>
      <c r="H424" s="13">
        <f t="shared" si="6"/>
        <v>150</v>
      </c>
      <c r="I424" s="6" t="s">
        <v>1065</v>
      </c>
    </row>
    <row r="425" spans="1:9" x14ac:dyDescent="0.3">
      <c r="A425" s="6" t="s">
        <v>1592</v>
      </c>
      <c r="B425" s="6" t="s">
        <v>461</v>
      </c>
      <c r="C425" s="6" t="s">
        <v>653</v>
      </c>
      <c r="D425" s="6">
        <v>1</v>
      </c>
      <c r="E425" s="6" t="s">
        <v>996</v>
      </c>
      <c r="F425" s="6" t="s">
        <v>1018</v>
      </c>
      <c r="G425" s="6" t="s">
        <v>1593</v>
      </c>
      <c r="H425" s="13">
        <f t="shared" si="6"/>
        <v>333.75</v>
      </c>
      <c r="I425" s="6" t="s">
        <v>1594</v>
      </c>
    </row>
    <row r="426" spans="1:9" x14ac:dyDescent="0.3">
      <c r="A426" s="6" t="s">
        <v>1595</v>
      </c>
      <c r="B426" s="6" t="s">
        <v>461</v>
      </c>
      <c r="C426" s="6" t="s">
        <v>653</v>
      </c>
      <c r="D426" s="6">
        <v>1</v>
      </c>
      <c r="E426" s="6" t="s">
        <v>995</v>
      </c>
      <c r="F426" s="6" t="s">
        <v>991</v>
      </c>
      <c r="G426" s="6" t="s">
        <v>1596</v>
      </c>
      <c r="H426" s="13">
        <f t="shared" si="6"/>
        <v>438.75</v>
      </c>
      <c r="I426" s="6" t="s">
        <v>1495</v>
      </c>
    </row>
    <row r="427" spans="1:9" x14ac:dyDescent="0.3">
      <c r="A427" s="6" t="s">
        <v>1597</v>
      </c>
      <c r="B427" s="6" t="s">
        <v>463</v>
      </c>
      <c r="C427" s="6" t="s">
        <v>708</v>
      </c>
      <c r="D427" s="6">
        <v>1</v>
      </c>
      <c r="E427" s="6" t="s">
        <v>995</v>
      </c>
      <c r="F427" s="6" t="s">
        <v>996</v>
      </c>
      <c r="G427" s="6" t="s">
        <v>1092</v>
      </c>
      <c r="H427" s="13">
        <f t="shared" si="6"/>
        <v>741.25</v>
      </c>
      <c r="I427" s="6" t="s">
        <v>998</v>
      </c>
    </row>
    <row r="428" spans="1:9" x14ac:dyDescent="0.3">
      <c r="A428" s="6" t="s">
        <v>1598</v>
      </c>
      <c r="B428" s="6" t="s">
        <v>465</v>
      </c>
      <c r="C428" s="6" t="s">
        <v>512</v>
      </c>
      <c r="D428" s="6">
        <v>1</v>
      </c>
      <c r="E428" s="6" t="s">
        <v>1061</v>
      </c>
      <c r="F428" s="6" t="s">
        <v>1025</v>
      </c>
      <c r="G428" s="6" t="s">
        <v>1018</v>
      </c>
      <c r="H428" s="13">
        <f t="shared" si="6"/>
        <v>222.5</v>
      </c>
      <c r="I428" s="6" t="s">
        <v>989</v>
      </c>
    </row>
    <row r="429" spans="1:9" x14ac:dyDescent="0.3">
      <c r="A429" s="6" t="s">
        <v>1599</v>
      </c>
      <c r="B429" s="6" t="s">
        <v>465</v>
      </c>
      <c r="C429" s="6" t="s">
        <v>512</v>
      </c>
      <c r="D429" s="6">
        <v>1</v>
      </c>
      <c r="E429" s="6" t="s">
        <v>1261</v>
      </c>
      <c r="F429" s="6" t="s">
        <v>1169</v>
      </c>
      <c r="G429" s="6" t="s">
        <v>1018</v>
      </c>
      <c r="H429" s="13">
        <f t="shared" si="6"/>
        <v>123.75</v>
      </c>
      <c r="I429" s="6" t="s">
        <v>981</v>
      </c>
    </row>
    <row r="430" spans="1:9" x14ac:dyDescent="0.3">
      <c r="A430" s="6" t="s">
        <v>1600</v>
      </c>
      <c r="B430" s="6" t="s">
        <v>465</v>
      </c>
      <c r="C430" s="6" t="s">
        <v>568</v>
      </c>
      <c r="D430" s="6">
        <v>1</v>
      </c>
      <c r="E430" s="6" t="s">
        <v>1261</v>
      </c>
      <c r="F430" s="6" t="s">
        <v>1026</v>
      </c>
      <c r="G430" s="6" t="s">
        <v>1051</v>
      </c>
      <c r="H430" s="13">
        <f t="shared" si="6"/>
        <v>167.5</v>
      </c>
      <c r="I430" s="6" t="s">
        <v>1442</v>
      </c>
    </row>
    <row r="431" spans="1:9" x14ac:dyDescent="0.3">
      <c r="A431" s="6" t="s">
        <v>1601</v>
      </c>
      <c r="B431" s="6" t="s">
        <v>465</v>
      </c>
      <c r="C431" s="6" t="s">
        <v>605</v>
      </c>
      <c r="D431" s="6">
        <v>1</v>
      </c>
      <c r="E431" s="6" t="s">
        <v>1018</v>
      </c>
      <c r="F431" s="6" t="s">
        <v>1080</v>
      </c>
      <c r="G431" s="6" t="s">
        <v>1018</v>
      </c>
      <c r="H431" s="13">
        <f t="shared" si="6"/>
        <v>128.75</v>
      </c>
      <c r="I431" s="6" t="s">
        <v>1023</v>
      </c>
    </row>
    <row r="432" spans="1:9" x14ac:dyDescent="0.3">
      <c r="A432" s="6" t="s">
        <v>1602</v>
      </c>
      <c r="B432" s="6" t="s">
        <v>465</v>
      </c>
      <c r="C432" s="6" t="s">
        <v>605</v>
      </c>
      <c r="D432" s="6">
        <v>1</v>
      </c>
      <c r="E432" s="6" t="s">
        <v>1015</v>
      </c>
      <c r="F432" s="6" t="s">
        <v>1080</v>
      </c>
      <c r="G432" s="6" t="s">
        <v>1018</v>
      </c>
      <c r="H432" s="13">
        <f t="shared" si="6"/>
        <v>128.75</v>
      </c>
      <c r="I432" s="6" t="s">
        <v>1023</v>
      </c>
    </row>
    <row r="433" spans="1:9" x14ac:dyDescent="0.3">
      <c r="A433" s="6" t="s">
        <v>1603</v>
      </c>
      <c r="B433" s="6" t="s">
        <v>472</v>
      </c>
      <c r="C433" s="6" t="s">
        <v>510</v>
      </c>
      <c r="D433" s="6">
        <v>1</v>
      </c>
      <c r="E433" s="6" t="s">
        <v>996</v>
      </c>
      <c r="F433" s="6" t="s">
        <v>985</v>
      </c>
      <c r="G433" s="6" t="s">
        <v>1131</v>
      </c>
      <c r="H433" s="13">
        <f t="shared" si="6"/>
        <v>887.5</v>
      </c>
      <c r="I433" s="6" t="s">
        <v>1191</v>
      </c>
    </row>
    <row r="434" spans="1:9" x14ac:dyDescent="0.3">
      <c r="A434" s="6" t="s">
        <v>1604</v>
      </c>
      <c r="B434" s="6" t="s">
        <v>472</v>
      </c>
      <c r="C434" s="6" t="s">
        <v>510</v>
      </c>
      <c r="D434" s="6">
        <v>1</v>
      </c>
      <c r="E434" s="6" t="s">
        <v>996</v>
      </c>
      <c r="F434" s="6" t="s">
        <v>985</v>
      </c>
      <c r="G434" s="6" t="s">
        <v>1131</v>
      </c>
      <c r="H434" s="13">
        <f t="shared" si="6"/>
        <v>887.5</v>
      </c>
      <c r="I434" s="6" t="s">
        <v>1191</v>
      </c>
    </row>
    <row r="435" spans="1:9" x14ac:dyDescent="0.3">
      <c r="A435" s="6" t="s">
        <v>1605</v>
      </c>
      <c r="B435" s="6" t="s">
        <v>472</v>
      </c>
      <c r="C435" s="6" t="s">
        <v>566</v>
      </c>
      <c r="D435" s="6">
        <v>1</v>
      </c>
      <c r="E435" s="6" t="s">
        <v>996</v>
      </c>
      <c r="F435" s="6" t="s">
        <v>1107</v>
      </c>
      <c r="G435" s="6" t="s">
        <v>1185</v>
      </c>
      <c r="H435" s="13">
        <f t="shared" si="6"/>
        <v>887.5</v>
      </c>
      <c r="I435" s="6" t="s">
        <v>1191</v>
      </c>
    </row>
    <row r="436" spans="1:9" x14ac:dyDescent="0.3">
      <c r="A436" s="6" t="s">
        <v>1606</v>
      </c>
      <c r="B436" s="6" t="s">
        <v>470</v>
      </c>
      <c r="C436" s="6" t="s">
        <v>688</v>
      </c>
      <c r="D436" s="6">
        <v>1</v>
      </c>
      <c r="E436" s="6" t="s">
        <v>1025</v>
      </c>
      <c r="F436" s="6" t="s">
        <v>1607</v>
      </c>
      <c r="G436" s="6" t="s">
        <v>1107</v>
      </c>
      <c r="H436" s="13">
        <f t="shared" si="6"/>
        <v>231.25</v>
      </c>
      <c r="I436" s="6" t="s">
        <v>1608</v>
      </c>
    </row>
    <row r="437" spans="1:9" x14ac:dyDescent="0.3">
      <c r="A437" s="6" t="s">
        <v>1609</v>
      </c>
      <c r="B437" s="6" t="s">
        <v>474</v>
      </c>
      <c r="C437" s="6" t="s">
        <v>645</v>
      </c>
      <c r="D437" s="6">
        <v>1</v>
      </c>
      <c r="E437" s="6" t="s">
        <v>1070</v>
      </c>
      <c r="F437" s="6" t="s">
        <v>1406</v>
      </c>
      <c r="G437" s="6" t="s">
        <v>1061</v>
      </c>
      <c r="H437" s="13">
        <f t="shared" si="6"/>
        <v>222.5</v>
      </c>
      <c r="I437" s="6" t="s">
        <v>989</v>
      </c>
    </row>
    <row r="438" spans="1:9" x14ac:dyDescent="0.3">
      <c r="A438" s="6" t="s">
        <v>3112</v>
      </c>
      <c r="B438" s="6" t="s">
        <v>477</v>
      </c>
      <c r="C438" s="6" t="s">
        <v>332</v>
      </c>
      <c r="D438" s="6">
        <v>1</v>
      </c>
      <c r="E438" s="6" t="s">
        <v>1054</v>
      </c>
      <c r="F438" s="6" t="s">
        <v>1275</v>
      </c>
      <c r="G438" s="6" t="s">
        <v>1051</v>
      </c>
      <c r="H438" s="13">
        <f t="shared" si="6"/>
        <v>123.75</v>
      </c>
      <c r="I438" s="6" t="s">
        <v>981</v>
      </c>
    </row>
    <row r="439" spans="1:9" x14ac:dyDescent="0.3">
      <c r="A439" s="6" t="s">
        <v>1610</v>
      </c>
      <c r="B439" s="6" t="s">
        <v>477</v>
      </c>
      <c r="C439" s="6" t="s">
        <v>613</v>
      </c>
      <c r="D439" s="6">
        <v>1</v>
      </c>
      <c r="E439" s="6" t="s">
        <v>1184</v>
      </c>
      <c r="F439" s="6" t="s">
        <v>1142</v>
      </c>
      <c r="G439" s="6" t="s">
        <v>1076</v>
      </c>
      <c r="H439" s="13">
        <f t="shared" si="6"/>
        <v>222.5</v>
      </c>
      <c r="I439" s="6" t="s">
        <v>989</v>
      </c>
    </row>
    <row r="440" spans="1:9" x14ac:dyDescent="0.3">
      <c r="A440" s="6" t="s">
        <v>1611</v>
      </c>
      <c r="B440" s="6" t="s">
        <v>481</v>
      </c>
      <c r="C440" s="6" t="s">
        <v>761</v>
      </c>
      <c r="D440" s="6">
        <v>1</v>
      </c>
      <c r="E440" s="6" t="s">
        <v>1107</v>
      </c>
      <c r="F440" s="6" t="s">
        <v>1368</v>
      </c>
      <c r="G440" s="6" t="s">
        <v>1061</v>
      </c>
      <c r="H440" s="13">
        <f t="shared" si="6"/>
        <v>222.5</v>
      </c>
      <c r="I440" s="6" t="s">
        <v>989</v>
      </c>
    </row>
    <row r="441" spans="1:9" x14ac:dyDescent="0.3">
      <c r="A441" s="6" t="s">
        <v>1612</v>
      </c>
      <c r="B441" s="6" t="s">
        <v>483</v>
      </c>
      <c r="C441" s="6" t="s">
        <v>623</v>
      </c>
      <c r="D441" s="6">
        <v>1</v>
      </c>
      <c r="E441" s="6" t="s">
        <v>996</v>
      </c>
      <c r="F441" s="6" t="s">
        <v>996</v>
      </c>
      <c r="G441" s="6" t="s">
        <v>1202</v>
      </c>
      <c r="H441" s="13">
        <f t="shared" si="6"/>
        <v>148.75</v>
      </c>
      <c r="I441" s="6" t="s">
        <v>1159</v>
      </c>
    </row>
    <row r="442" spans="1:9" x14ac:dyDescent="0.3">
      <c r="A442" s="6" t="s">
        <v>1613</v>
      </c>
      <c r="B442" s="6" t="s">
        <v>483</v>
      </c>
      <c r="C442" s="6" t="s">
        <v>659</v>
      </c>
      <c r="D442" s="6">
        <v>1</v>
      </c>
      <c r="E442" s="6" t="s">
        <v>991</v>
      </c>
      <c r="F442" s="6" t="s">
        <v>987</v>
      </c>
      <c r="G442" s="6" t="s">
        <v>1092</v>
      </c>
      <c r="H442" s="13">
        <f t="shared" si="6"/>
        <v>150</v>
      </c>
      <c r="I442" s="6" t="s">
        <v>1065</v>
      </c>
    </row>
    <row r="443" spans="1:9" x14ac:dyDescent="0.3">
      <c r="A443" s="6" t="s">
        <v>1614</v>
      </c>
      <c r="B443" s="6" t="s">
        <v>485</v>
      </c>
      <c r="C443" s="6" t="s">
        <v>315</v>
      </c>
      <c r="D443" s="6">
        <v>1</v>
      </c>
      <c r="E443" s="6" t="s">
        <v>1016</v>
      </c>
      <c r="F443" s="6" t="s">
        <v>983</v>
      </c>
      <c r="G443" s="6" t="s">
        <v>1015</v>
      </c>
      <c r="H443" s="13">
        <f t="shared" si="6"/>
        <v>170</v>
      </c>
      <c r="I443" s="6" t="s">
        <v>1120</v>
      </c>
    </row>
    <row r="444" spans="1:9" x14ac:dyDescent="0.3">
      <c r="A444" s="6" t="s">
        <v>1615</v>
      </c>
      <c r="B444" s="6" t="s">
        <v>487</v>
      </c>
      <c r="C444" s="6" t="s">
        <v>508</v>
      </c>
      <c r="D444" s="6">
        <v>1</v>
      </c>
      <c r="E444" s="6" t="s">
        <v>1061</v>
      </c>
      <c r="F444" s="6" t="s">
        <v>1249</v>
      </c>
      <c r="G444" s="6" t="s">
        <v>1197</v>
      </c>
      <c r="H444" s="13">
        <f t="shared" si="6"/>
        <v>542.5</v>
      </c>
      <c r="I444" s="6" t="s">
        <v>1013</v>
      </c>
    </row>
    <row r="445" spans="1:9" x14ac:dyDescent="0.3">
      <c r="A445" s="6" t="s">
        <v>1616</v>
      </c>
      <c r="B445" s="6" t="s">
        <v>487</v>
      </c>
      <c r="C445" s="6" t="s">
        <v>514</v>
      </c>
      <c r="D445" s="6">
        <v>1</v>
      </c>
      <c r="E445" s="6" t="s">
        <v>1107</v>
      </c>
      <c r="F445" s="6" t="s">
        <v>1368</v>
      </c>
      <c r="G445" s="6" t="s">
        <v>1100</v>
      </c>
      <c r="H445" s="13">
        <f t="shared" si="6"/>
        <v>640</v>
      </c>
      <c r="I445" s="6" t="s">
        <v>1617</v>
      </c>
    </row>
    <row r="446" spans="1:9" x14ac:dyDescent="0.3">
      <c r="A446" s="6" t="s">
        <v>1618</v>
      </c>
      <c r="B446" s="6" t="s">
        <v>485</v>
      </c>
      <c r="C446" s="6" t="s">
        <v>535</v>
      </c>
      <c r="D446" s="6">
        <v>1</v>
      </c>
      <c r="E446" s="6" t="s">
        <v>1070</v>
      </c>
      <c r="F446" s="6" t="s">
        <v>1122</v>
      </c>
      <c r="G446" s="6" t="s">
        <v>991</v>
      </c>
      <c r="H446" s="13">
        <f t="shared" si="6"/>
        <v>123.75</v>
      </c>
      <c r="I446" s="6" t="s">
        <v>981</v>
      </c>
    </row>
    <row r="447" spans="1:9" x14ac:dyDescent="0.3">
      <c r="A447" s="6" t="s">
        <v>1619</v>
      </c>
      <c r="B447" s="6" t="s">
        <v>485</v>
      </c>
      <c r="C447" s="6" t="s">
        <v>535</v>
      </c>
      <c r="D447" s="6">
        <v>1</v>
      </c>
      <c r="E447" s="6" t="s">
        <v>1261</v>
      </c>
      <c r="F447" s="6" t="s">
        <v>1112</v>
      </c>
      <c r="G447" s="6" t="s">
        <v>1011</v>
      </c>
      <c r="H447" s="13">
        <f t="shared" si="6"/>
        <v>100</v>
      </c>
      <c r="I447" s="6" t="s">
        <v>1236</v>
      </c>
    </row>
    <row r="448" spans="1:9" x14ac:dyDescent="0.3">
      <c r="A448" s="6" t="s">
        <v>1620</v>
      </c>
      <c r="B448" s="6" t="s">
        <v>487</v>
      </c>
      <c r="C448" s="6" t="s">
        <v>705</v>
      </c>
      <c r="D448" s="6">
        <v>1</v>
      </c>
      <c r="E448" s="6" t="s">
        <v>1070</v>
      </c>
      <c r="F448" s="6" t="s">
        <v>1185</v>
      </c>
      <c r="G448" s="6" t="s">
        <v>1048</v>
      </c>
      <c r="H448" s="13">
        <f t="shared" si="6"/>
        <v>336.25</v>
      </c>
      <c r="I448" s="6" t="s">
        <v>1621</v>
      </c>
    </row>
    <row r="449" spans="1:9" x14ac:dyDescent="0.3">
      <c r="A449" s="6" t="s">
        <v>1622</v>
      </c>
      <c r="B449" s="6" t="s">
        <v>485</v>
      </c>
      <c r="C449" s="6" t="s">
        <v>721</v>
      </c>
      <c r="D449" s="6">
        <v>1</v>
      </c>
      <c r="E449" s="6" t="s">
        <v>991</v>
      </c>
      <c r="F449" s="6" t="s">
        <v>1107</v>
      </c>
      <c r="G449" s="6" t="s">
        <v>991</v>
      </c>
      <c r="H449" s="13">
        <f t="shared" si="6"/>
        <v>222.5</v>
      </c>
      <c r="I449" s="6" t="s">
        <v>989</v>
      </c>
    </row>
    <row r="450" spans="1:9" x14ac:dyDescent="0.3">
      <c r="A450" s="6" t="s">
        <v>1623</v>
      </c>
      <c r="B450" s="6" t="s">
        <v>489</v>
      </c>
      <c r="C450" s="6" t="s">
        <v>264</v>
      </c>
      <c r="D450" s="6">
        <v>1</v>
      </c>
      <c r="E450" s="6" t="s">
        <v>995</v>
      </c>
      <c r="F450" s="13">
        <v>1E-3</v>
      </c>
      <c r="G450" s="6" t="s">
        <v>991</v>
      </c>
      <c r="H450" s="13">
        <f t="shared" si="6"/>
        <v>175</v>
      </c>
      <c r="I450" s="6" t="s">
        <v>1020</v>
      </c>
    </row>
    <row r="451" spans="1:9" x14ac:dyDescent="0.3">
      <c r="A451" s="6" t="s">
        <v>1624</v>
      </c>
      <c r="B451" s="6" t="s">
        <v>489</v>
      </c>
      <c r="C451" s="6" t="s">
        <v>501</v>
      </c>
      <c r="D451" s="6">
        <v>1</v>
      </c>
      <c r="E451" s="6" t="s">
        <v>1080</v>
      </c>
      <c r="F451" s="6" t="s">
        <v>1221</v>
      </c>
      <c r="G451" s="6" t="s">
        <v>1015</v>
      </c>
      <c r="H451" s="13">
        <f t="shared" ref="H451:H514" si="7">I451*1.25</f>
        <v>170</v>
      </c>
      <c r="I451" s="6" t="s">
        <v>1120</v>
      </c>
    </row>
    <row r="452" spans="1:9" x14ac:dyDescent="0.3">
      <c r="A452" s="6" t="s">
        <v>1625</v>
      </c>
      <c r="B452" s="6" t="s">
        <v>490</v>
      </c>
      <c r="C452" s="6" t="s">
        <v>503</v>
      </c>
      <c r="D452" s="6">
        <v>1</v>
      </c>
      <c r="E452" s="6" t="s">
        <v>991</v>
      </c>
      <c r="F452" s="6" t="s">
        <v>1080</v>
      </c>
      <c r="G452" s="6" t="s">
        <v>1047</v>
      </c>
      <c r="H452" s="13">
        <f t="shared" si="7"/>
        <v>913.75</v>
      </c>
      <c r="I452" s="6" t="s">
        <v>1626</v>
      </c>
    </row>
    <row r="453" spans="1:9" x14ac:dyDescent="0.3">
      <c r="A453" s="6" t="s">
        <v>1627</v>
      </c>
      <c r="B453" s="6" t="s">
        <v>490</v>
      </c>
      <c r="C453" s="6" t="s">
        <v>503</v>
      </c>
      <c r="D453" s="6">
        <v>1</v>
      </c>
      <c r="E453" s="6" t="s">
        <v>995</v>
      </c>
      <c r="F453" s="6" t="s">
        <v>1051</v>
      </c>
      <c r="G453" s="6" t="s">
        <v>1628</v>
      </c>
      <c r="H453" s="13">
        <f t="shared" si="7"/>
        <v>913.75</v>
      </c>
      <c r="I453" s="6" t="s">
        <v>1626</v>
      </c>
    </row>
    <row r="454" spans="1:9" x14ac:dyDescent="0.3">
      <c r="A454" s="6" t="s">
        <v>1629</v>
      </c>
      <c r="B454" s="6" t="s">
        <v>490</v>
      </c>
      <c r="C454" s="6" t="s">
        <v>601</v>
      </c>
      <c r="D454" s="6">
        <v>1</v>
      </c>
      <c r="E454" s="6" t="s">
        <v>995</v>
      </c>
      <c r="F454" s="6" t="s">
        <v>1000</v>
      </c>
      <c r="G454" s="6" t="s">
        <v>1510</v>
      </c>
      <c r="H454" s="13">
        <f t="shared" si="7"/>
        <v>825</v>
      </c>
      <c r="I454" s="6" t="s">
        <v>1630</v>
      </c>
    </row>
    <row r="455" spans="1:9" x14ac:dyDescent="0.3">
      <c r="A455" s="6" t="s">
        <v>1631</v>
      </c>
      <c r="B455" s="6" t="s">
        <v>490</v>
      </c>
      <c r="C455" s="6" t="s">
        <v>601</v>
      </c>
      <c r="D455" s="6">
        <v>1</v>
      </c>
      <c r="E455" s="6" t="s">
        <v>995</v>
      </c>
      <c r="F455" s="6" t="s">
        <v>1000</v>
      </c>
      <c r="G455" s="6" t="s">
        <v>1510</v>
      </c>
      <c r="H455" s="13">
        <f t="shared" si="7"/>
        <v>825</v>
      </c>
      <c r="I455" s="6" t="s">
        <v>1630</v>
      </c>
    </row>
    <row r="456" spans="1:9" x14ac:dyDescent="0.3">
      <c r="A456" s="6" t="s">
        <v>1632</v>
      </c>
      <c r="B456" s="6" t="s">
        <v>489</v>
      </c>
      <c r="C456" s="6" t="s">
        <v>671</v>
      </c>
      <c r="D456" s="6">
        <v>1</v>
      </c>
      <c r="E456" s="6" t="s">
        <v>1633</v>
      </c>
      <c r="F456" s="13" t="s">
        <v>1100</v>
      </c>
      <c r="G456" s="6" t="s">
        <v>1261</v>
      </c>
      <c r="H456" s="13">
        <f t="shared" si="7"/>
        <v>170</v>
      </c>
      <c r="I456" s="6" t="s">
        <v>1120</v>
      </c>
    </row>
    <row r="457" spans="1:9" x14ac:dyDescent="0.3">
      <c r="A457" s="6" t="s">
        <v>1634</v>
      </c>
      <c r="B457" s="6" t="s">
        <v>489</v>
      </c>
      <c r="C457" s="6" t="s">
        <v>748</v>
      </c>
      <c r="D457" s="6">
        <v>1</v>
      </c>
      <c r="E457" s="6" t="s">
        <v>1000</v>
      </c>
      <c r="F457" s="6" t="s">
        <v>980</v>
      </c>
      <c r="G457" s="6" t="s">
        <v>996</v>
      </c>
      <c r="H457" s="13">
        <f t="shared" si="7"/>
        <v>123.75</v>
      </c>
      <c r="I457" s="6" t="s">
        <v>981</v>
      </c>
    </row>
    <row r="458" spans="1:9" x14ac:dyDescent="0.3">
      <c r="A458" s="6" t="s">
        <v>1635</v>
      </c>
      <c r="B458" s="6" t="s">
        <v>489</v>
      </c>
      <c r="C458" s="6" t="s">
        <v>748</v>
      </c>
      <c r="D458" s="6">
        <v>1</v>
      </c>
      <c r="E458" s="6" t="s">
        <v>1000</v>
      </c>
      <c r="F458" s="6" t="s">
        <v>980</v>
      </c>
      <c r="G458" s="6" t="s">
        <v>996</v>
      </c>
      <c r="H458" s="13">
        <f t="shared" si="7"/>
        <v>123.75</v>
      </c>
      <c r="I458" s="6" t="s">
        <v>981</v>
      </c>
    </row>
    <row r="459" spans="1:9" x14ac:dyDescent="0.3">
      <c r="A459" s="6" t="s">
        <v>1636</v>
      </c>
      <c r="B459" s="6" t="s">
        <v>490</v>
      </c>
      <c r="C459" s="6" t="s">
        <v>750</v>
      </c>
      <c r="D459" s="6">
        <v>1</v>
      </c>
      <c r="E459" s="6" t="s">
        <v>995</v>
      </c>
      <c r="F459" s="6" t="s">
        <v>1000</v>
      </c>
      <c r="G459" s="6" t="s">
        <v>1327</v>
      </c>
      <c r="H459" s="13">
        <f t="shared" si="7"/>
        <v>437.5</v>
      </c>
      <c r="I459" s="6" t="s">
        <v>1413</v>
      </c>
    </row>
    <row r="460" spans="1:9" x14ac:dyDescent="0.3">
      <c r="A460" s="6" t="s">
        <v>1637</v>
      </c>
      <c r="B460" s="6" t="s">
        <v>490</v>
      </c>
      <c r="C460" s="6" t="s">
        <v>750</v>
      </c>
      <c r="D460" s="6">
        <v>1</v>
      </c>
      <c r="E460" s="6" t="s">
        <v>995</v>
      </c>
      <c r="F460" s="6" t="s">
        <v>1000</v>
      </c>
      <c r="G460" s="6" t="s">
        <v>1030</v>
      </c>
      <c r="H460" s="13">
        <f t="shared" si="7"/>
        <v>437.5</v>
      </c>
      <c r="I460" s="6" t="s">
        <v>1413</v>
      </c>
    </row>
    <row r="461" spans="1:9" x14ac:dyDescent="0.3">
      <c r="A461" s="6" t="s">
        <v>1638</v>
      </c>
      <c r="B461" s="6" t="s">
        <v>489</v>
      </c>
      <c r="C461" s="6" t="s">
        <v>780</v>
      </c>
      <c r="D461" s="6">
        <v>1</v>
      </c>
      <c r="E461" s="6" t="s">
        <v>1078</v>
      </c>
      <c r="F461" s="6" t="s">
        <v>1639</v>
      </c>
      <c r="G461" s="6" t="s">
        <v>1107</v>
      </c>
      <c r="H461" s="13">
        <f t="shared" si="7"/>
        <v>123.75</v>
      </c>
      <c r="I461" s="6" t="s">
        <v>981</v>
      </c>
    </row>
    <row r="462" spans="1:9" x14ac:dyDescent="0.3">
      <c r="A462" s="6" t="s">
        <v>1640</v>
      </c>
      <c r="B462" s="6" t="s">
        <v>489</v>
      </c>
      <c r="C462" s="6" t="s">
        <v>780</v>
      </c>
      <c r="D462" s="6">
        <v>1</v>
      </c>
      <c r="E462" s="6" t="s">
        <v>978</v>
      </c>
      <c r="F462" s="6" t="s">
        <v>1444</v>
      </c>
      <c r="G462" s="6" t="s">
        <v>1076</v>
      </c>
      <c r="H462" s="13">
        <f t="shared" si="7"/>
        <v>222.5</v>
      </c>
      <c r="I462" s="6" t="s">
        <v>989</v>
      </c>
    </row>
    <row r="463" spans="1:9" x14ac:dyDescent="0.3">
      <c r="A463" s="6" t="s">
        <v>1641</v>
      </c>
      <c r="B463" s="6" t="s">
        <v>492</v>
      </c>
      <c r="C463" s="6" t="s">
        <v>479</v>
      </c>
      <c r="D463" s="6">
        <v>1</v>
      </c>
      <c r="E463" s="6" t="s">
        <v>1139</v>
      </c>
      <c r="F463" s="6" t="s">
        <v>1140</v>
      </c>
      <c r="G463" s="6" t="s">
        <v>1016</v>
      </c>
      <c r="H463" s="13">
        <f t="shared" si="7"/>
        <v>123.75</v>
      </c>
      <c r="I463" s="6" t="s">
        <v>981</v>
      </c>
    </row>
    <row r="464" spans="1:9" x14ac:dyDescent="0.3">
      <c r="A464" s="6" t="s">
        <v>1642</v>
      </c>
      <c r="B464" s="6" t="s">
        <v>496</v>
      </c>
      <c r="C464" s="6" t="s">
        <v>719</v>
      </c>
      <c r="D464" s="6">
        <v>1</v>
      </c>
      <c r="E464" s="6" t="s">
        <v>987</v>
      </c>
      <c r="F464" s="6" t="s">
        <v>1261</v>
      </c>
      <c r="G464" s="6" t="s">
        <v>980</v>
      </c>
      <c r="H464" s="13">
        <f t="shared" si="7"/>
        <v>136.25</v>
      </c>
      <c r="I464" s="6" t="s">
        <v>1028</v>
      </c>
    </row>
    <row r="465" spans="1:9" x14ac:dyDescent="0.3">
      <c r="A465" s="6" t="s">
        <v>1643</v>
      </c>
      <c r="B465" s="6" t="s">
        <v>496</v>
      </c>
      <c r="C465" s="6" t="s">
        <v>738</v>
      </c>
      <c r="D465" s="6">
        <v>1</v>
      </c>
      <c r="E465" s="6" t="s">
        <v>1061</v>
      </c>
      <c r="F465" s="6" t="s">
        <v>988</v>
      </c>
      <c r="G465" s="6" t="s">
        <v>1018</v>
      </c>
      <c r="H465" s="13">
        <f t="shared" si="7"/>
        <v>178.75</v>
      </c>
      <c r="I465" s="6" t="s">
        <v>1360</v>
      </c>
    </row>
    <row r="466" spans="1:9" x14ac:dyDescent="0.3">
      <c r="A466" s="6" t="s">
        <v>1644</v>
      </c>
      <c r="B466" s="6" t="s">
        <v>503</v>
      </c>
      <c r="C466" s="6" t="s">
        <v>181</v>
      </c>
      <c r="D466" s="6">
        <v>1</v>
      </c>
      <c r="E466" s="6" t="s">
        <v>1015</v>
      </c>
      <c r="F466" s="6" t="s">
        <v>1633</v>
      </c>
      <c r="G466" s="6" t="s">
        <v>1249</v>
      </c>
      <c r="H466" s="13">
        <f t="shared" si="7"/>
        <v>542.5</v>
      </c>
      <c r="I466" s="6" t="s">
        <v>1013</v>
      </c>
    </row>
    <row r="467" spans="1:9" x14ac:dyDescent="0.3">
      <c r="A467" s="6" t="s">
        <v>1645</v>
      </c>
      <c r="B467" s="6" t="s">
        <v>501</v>
      </c>
      <c r="C467" s="6" t="s">
        <v>778</v>
      </c>
      <c r="D467" s="6">
        <v>1</v>
      </c>
      <c r="E467" s="6" t="s">
        <v>991</v>
      </c>
      <c r="F467" s="6" t="s">
        <v>1107</v>
      </c>
      <c r="G467" s="6" t="s">
        <v>1015</v>
      </c>
      <c r="H467" s="13">
        <f t="shared" si="7"/>
        <v>222.5</v>
      </c>
      <c r="I467" s="6" t="s">
        <v>989</v>
      </c>
    </row>
    <row r="468" spans="1:9" x14ac:dyDescent="0.3">
      <c r="A468" s="6" t="s">
        <v>1646</v>
      </c>
      <c r="B468" s="6" t="s">
        <v>501</v>
      </c>
      <c r="C468" s="6" t="s">
        <v>778</v>
      </c>
      <c r="D468" s="6">
        <v>1</v>
      </c>
      <c r="E468" s="6" t="s">
        <v>1018</v>
      </c>
      <c r="F468" s="6" t="s">
        <v>1107</v>
      </c>
      <c r="G468" s="6" t="s">
        <v>1018</v>
      </c>
      <c r="H468" s="13">
        <f t="shared" si="7"/>
        <v>123.75</v>
      </c>
      <c r="I468" s="6" t="s">
        <v>981</v>
      </c>
    </row>
    <row r="469" spans="1:9" x14ac:dyDescent="0.3">
      <c r="A469" s="6" t="s">
        <v>1647</v>
      </c>
      <c r="B469" s="6" t="s">
        <v>505</v>
      </c>
      <c r="C469" s="6" t="s">
        <v>165</v>
      </c>
      <c r="D469" s="6">
        <v>1</v>
      </c>
      <c r="E469" s="6" t="s">
        <v>995</v>
      </c>
      <c r="F469" s="6" t="s">
        <v>996</v>
      </c>
      <c r="G469" s="6" t="s">
        <v>980</v>
      </c>
      <c r="H469" s="13">
        <f t="shared" si="7"/>
        <v>175</v>
      </c>
      <c r="I469" s="6" t="s">
        <v>1020</v>
      </c>
    </row>
    <row r="470" spans="1:9" x14ac:dyDescent="0.3">
      <c r="A470" s="6" t="s">
        <v>1648</v>
      </c>
      <c r="B470" s="6" t="s">
        <v>505</v>
      </c>
      <c r="C470" s="6" t="s">
        <v>481</v>
      </c>
      <c r="D470" s="6">
        <v>1</v>
      </c>
      <c r="E470" s="6" t="s">
        <v>991</v>
      </c>
      <c r="F470" s="6" t="s">
        <v>1080</v>
      </c>
      <c r="G470" s="6" t="s">
        <v>1100</v>
      </c>
      <c r="H470" s="13">
        <f t="shared" si="7"/>
        <v>237.5</v>
      </c>
      <c r="I470" s="6" t="s">
        <v>1437</v>
      </c>
    </row>
    <row r="471" spans="1:9" x14ac:dyDescent="0.3">
      <c r="A471" s="6" t="s">
        <v>1649</v>
      </c>
      <c r="B471" s="6" t="s">
        <v>505</v>
      </c>
      <c r="C471" s="6" t="s">
        <v>696</v>
      </c>
      <c r="D471" s="6">
        <v>1</v>
      </c>
      <c r="E471" s="6" t="s">
        <v>1027</v>
      </c>
      <c r="F471" s="6" t="s">
        <v>979</v>
      </c>
      <c r="G471" s="6" t="s">
        <v>1057</v>
      </c>
      <c r="H471" s="13">
        <f t="shared" si="7"/>
        <v>243.75</v>
      </c>
      <c r="I471" s="6" t="s">
        <v>1145</v>
      </c>
    </row>
    <row r="472" spans="1:9" x14ac:dyDescent="0.3">
      <c r="A472" s="6" t="s">
        <v>1650</v>
      </c>
      <c r="B472" s="6" t="s">
        <v>505</v>
      </c>
      <c r="C472" s="6" t="s">
        <v>700</v>
      </c>
      <c r="D472" s="6">
        <v>1</v>
      </c>
      <c r="E472" s="6" t="s">
        <v>1122</v>
      </c>
      <c r="F472" s="6" t="s">
        <v>1651</v>
      </c>
      <c r="G472" s="6" t="s">
        <v>1112</v>
      </c>
      <c r="H472" s="13">
        <f t="shared" si="7"/>
        <v>168.75</v>
      </c>
      <c r="I472" s="6" t="s">
        <v>1652</v>
      </c>
    </row>
    <row r="473" spans="1:9" x14ac:dyDescent="0.3">
      <c r="A473" s="6" t="s">
        <v>1653</v>
      </c>
      <c r="B473" s="6" t="s">
        <v>505</v>
      </c>
      <c r="C473" s="6" t="s">
        <v>789</v>
      </c>
      <c r="D473" s="6">
        <v>1</v>
      </c>
      <c r="E473" s="6" t="s">
        <v>996</v>
      </c>
      <c r="F473" s="6" t="s">
        <v>1018</v>
      </c>
      <c r="G473" s="6" t="s">
        <v>1112</v>
      </c>
      <c r="H473" s="13">
        <f t="shared" si="7"/>
        <v>243.75</v>
      </c>
      <c r="I473" s="6" t="s">
        <v>1145</v>
      </c>
    </row>
    <row r="474" spans="1:9" x14ac:dyDescent="0.3">
      <c r="A474" s="6" t="s">
        <v>1654</v>
      </c>
      <c r="B474" s="6" t="s">
        <v>510</v>
      </c>
      <c r="C474" s="6" t="s">
        <v>744</v>
      </c>
      <c r="D474" s="6">
        <v>1</v>
      </c>
      <c r="E474" s="6" t="s">
        <v>1018</v>
      </c>
      <c r="F474" s="6" t="s">
        <v>1005</v>
      </c>
      <c r="G474" s="6" t="s">
        <v>1655</v>
      </c>
      <c r="H474" s="13">
        <f t="shared" si="7"/>
        <v>887.5</v>
      </c>
      <c r="I474" s="6" t="s">
        <v>1191</v>
      </c>
    </row>
    <row r="475" spans="1:9" x14ac:dyDescent="0.3">
      <c r="A475" s="6" t="s">
        <v>1656</v>
      </c>
      <c r="B475" s="6" t="s">
        <v>512</v>
      </c>
      <c r="C475" s="6" t="s">
        <v>98</v>
      </c>
      <c r="D475" s="6">
        <v>1</v>
      </c>
      <c r="E475" s="6" t="s">
        <v>1202</v>
      </c>
      <c r="F475" s="6" t="s">
        <v>1089</v>
      </c>
      <c r="G475" s="6" t="s">
        <v>987</v>
      </c>
      <c r="H475" s="13">
        <f t="shared" si="7"/>
        <v>170</v>
      </c>
      <c r="I475" s="6" t="s">
        <v>1120</v>
      </c>
    </row>
    <row r="476" spans="1:9" x14ac:dyDescent="0.3">
      <c r="A476" s="6" t="s">
        <v>3113</v>
      </c>
      <c r="B476" s="6" t="s">
        <v>512</v>
      </c>
      <c r="C476" s="6" t="s">
        <v>532</v>
      </c>
      <c r="D476" s="6">
        <v>1</v>
      </c>
      <c r="E476" s="6">
        <v>1.2E-2</v>
      </c>
      <c r="F476" s="6">
        <v>2.7E-2</v>
      </c>
      <c r="G476" s="6">
        <v>4.0000000000000001E-3</v>
      </c>
      <c r="H476" s="13">
        <f t="shared" si="7"/>
        <v>131.25</v>
      </c>
      <c r="I476" s="6">
        <v>105</v>
      </c>
    </row>
    <row r="477" spans="1:9" x14ac:dyDescent="0.3">
      <c r="A477" s="6" t="s">
        <v>1657</v>
      </c>
      <c r="B477" s="6" t="s">
        <v>512</v>
      </c>
      <c r="C477" s="6" t="s">
        <v>579</v>
      </c>
      <c r="D477" s="6">
        <v>1</v>
      </c>
      <c r="E477" s="6" t="s">
        <v>1000</v>
      </c>
      <c r="F477" s="6" t="s">
        <v>1000</v>
      </c>
      <c r="G477" s="6" t="s">
        <v>1005</v>
      </c>
      <c r="H477" s="13">
        <f t="shared" si="7"/>
        <v>155</v>
      </c>
      <c r="I477" s="6" t="s">
        <v>1234</v>
      </c>
    </row>
    <row r="478" spans="1:9" x14ac:dyDescent="0.3">
      <c r="A478" s="6" t="s">
        <v>1658</v>
      </c>
      <c r="B478" s="6" t="s">
        <v>512</v>
      </c>
      <c r="C478" s="6" t="s">
        <v>583</v>
      </c>
      <c r="D478" s="6">
        <v>1</v>
      </c>
      <c r="E478" s="6" t="s">
        <v>992</v>
      </c>
      <c r="F478" s="6" t="s">
        <v>988</v>
      </c>
      <c r="G478" s="6" t="s">
        <v>1018</v>
      </c>
      <c r="H478" s="13">
        <f t="shared" si="7"/>
        <v>123.75</v>
      </c>
      <c r="I478" s="6" t="s">
        <v>981</v>
      </c>
    </row>
    <row r="479" spans="1:9" x14ac:dyDescent="0.3">
      <c r="A479" s="6" t="s">
        <v>1659</v>
      </c>
      <c r="B479" s="6" t="s">
        <v>514</v>
      </c>
      <c r="C479" s="6" t="s">
        <v>669</v>
      </c>
      <c r="D479" s="6">
        <v>1</v>
      </c>
      <c r="E479" s="6" t="s">
        <v>1000</v>
      </c>
      <c r="F479" s="6" t="s">
        <v>992</v>
      </c>
      <c r="G479" s="6" t="s">
        <v>1327</v>
      </c>
      <c r="H479" s="13">
        <f t="shared" si="7"/>
        <v>441.25</v>
      </c>
      <c r="I479" s="6" t="s">
        <v>1660</v>
      </c>
    </row>
    <row r="480" spans="1:9" x14ac:dyDescent="0.3">
      <c r="A480" s="6" t="s">
        <v>1661</v>
      </c>
      <c r="B480" s="6" t="s">
        <v>512</v>
      </c>
      <c r="C480" s="6" t="s">
        <v>801</v>
      </c>
      <c r="D480" s="6">
        <v>1</v>
      </c>
      <c r="E480" s="6" t="s">
        <v>1327</v>
      </c>
      <c r="F480" s="6" t="s">
        <v>1639</v>
      </c>
      <c r="G480" s="6" t="s">
        <v>1080</v>
      </c>
      <c r="H480" s="13">
        <f t="shared" si="7"/>
        <v>222.5</v>
      </c>
      <c r="I480" s="6" t="s">
        <v>989</v>
      </c>
    </row>
    <row r="481" spans="1:9" x14ac:dyDescent="0.3">
      <c r="A481" s="6" t="s">
        <v>1662</v>
      </c>
      <c r="B481" s="6" t="s">
        <v>517</v>
      </c>
      <c r="C481" s="6" t="s">
        <v>570</v>
      </c>
      <c r="D481" s="6">
        <v>1</v>
      </c>
      <c r="E481" s="6" t="s">
        <v>1004</v>
      </c>
      <c r="F481" s="6" t="s">
        <v>1154</v>
      </c>
      <c r="G481" s="6" t="s">
        <v>987</v>
      </c>
      <c r="H481" s="13">
        <f t="shared" si="7"/>
        <v>123.75</v>
      </c>
      <c r="I481" s="6" t="s">
        <v>981</v>
      </c>
    </row>
    <row r="482" spans="1:9" x14ac:dyDescent="0.3">
      <c r="A482" s="6" t="s">
        <v>1663</v>
      </c>
      <c r="B482" s="6" t="s">
        <v>517</v>
      </c>
      <c r="C482" s="6" t="s">
        <v>595</v>
      </c>
      <c r="D482" s="6">
        <v>1</v>
      </c>
      <c r="E482" s="6" t="s">
        <v>1011</v>
      </c>
      <c r="F482" s="6" t="s">
        <v>1043</v>
      </c>
      <c r="G482" s="6" t="s">
        <v>991</v>
      </c>
      <c r="H482" s="13">
        <f t="shared" si="7"/>
        <v>170</v>
      </c>
      <c r="I482" s="6" t="s">
        <v>1120</v>
      </c>
    </row>
    <row r="483" spans="1:9" x14ac:dyDescent="0.3">
      <c r="A483" s="6" t="s">
        <v>1664</v>
      </c>
      <c r="B483" s="6" t="s">
        <v>519</v>
      </c>
      <c r="C483" s="6" t="s">
        <v>794</v>
      </c>
      <c r="D483" s="6">
        <v>1</v>
      </c>
      <c r="E483" s="6" t="s">
        <v>996</v>
      </c>
      <c r="F483" s="6" t="s">
        <v>991</v>
      </c>
      <c r="G483" s="6" t="s">
        <v>1025</v>
      </c>
      <c r="H483" s="13">
        <f t="shared" si="7"/>
        <v>123.75</v>
      </c>
      <c r="I483" s="6" t="s">
        <v>981</v>
      </c>
    </row>
    <row r="484" spans="1:9" x14ac:dyDescent="0.3">
      <c r="A484" s="6" t="s">
        <v>1665</v>
      </c>
      <c r="B484" s="6" t="s">
        <v>521</v>
      </c>
      <c r="C484" s="6" t="s">
        <v>204</v>
      </c>
      <c r="D484" s="6">
        <v>1</v>
      </c>
      <c r="E484" s="6" t="s">
        <v>995</v>
      </c>
      <c r="F484" s="6" t="s">
        <v>996</v>
      </c>
      <c r="G484" s="6" t="s">
        <v>1061</v>
      </c>
      <c r="H484" s="13">
        <f t="shared" si="7"/>
        <v>233.75</v>
      </c>
      <c r="I484" s="6" t="s">
        <v>1152</v>
      </c>
    </row>
    <row r="485" spans="1:9" x14ac:dyDescent="0.3">
      <c r="A485" s="6" t="s">
        <v>1666</v>
      </c>
      <c r="B485" s="6" t="s">
        <v>523</v>
      </c>
      <c r="C485" s="6" t="s">
        <v>621</v>
      </c>
      <c r="D485" s="6">
        <v>1</v>
      </c>
      <c r="E485" s="6" t="s">
        <v>1051</v>
      </c>
      <c r="F485" s="6" t="s">
        <v>1054</v>
      </c>
      <c r="G485" s="6" t="s">
        <v>1000</v>
      </c>
      <c r="H485" s="13">
        <f t="shared" si="7"/>
        <v>123.75</v>
      </c>
      <c r="I485" s="6" t="s">
        <v>981</v>
      </c>
    </row>
    <row r="486" spans="1:9" x14ac:dyDescent="0.3">
      <c r="A486" s="6" t="s">
        <v>3114</v>
      </c>
      <c r="B486" s="6" t="s">
        <v>525</v>
      </c>
      <c r="C486" s="6" t="s">
        <v>572</v>
      </c>
      <c r="D486" s="6">
        <v>1</v>
      </c>
      <c r="E486" s="6">
        <v>3.0000000000000001E-3</v>
      </c>
      <c r="F486" s="6">
        <v>1.0999999999999999E-2</v>
      </c>
      <c r="G486" s="6">
        <v>0.112</v>
      </c>
      <c r="H486" s="13">
        <f t="shared" si="7"/>
        <v>951.25</v>
      </c>
      <c r="I486" s="6">
        <v>761</v>
      </c>
    </row>
    <row r="487" spans="1:9" x14ac:dyDescent="0.3">
      <c r="A487" s="6" t="s">
        <v>3115</v>
      </c>
      <c r="B487" s="6" t="s">
        <v>525</v>
      </c>
      <c r="C487" s="6" t="s">
        <v>805</v>
      </c>
      <c r="D487" s="6">
        <v>1</v>
      </c>
      <c r="E487" s="6">
        <v>3.0000000000000001E-3</v>
      </c>
      <c r="F487" s="6">
        <v>1.0999999999999999E-2</v>
      </c>
      <c r="G487" s="6">
        <v>0.112</v>
      </c>
      <c r="H487" s="13">
        <f t="shared" si="7"/>
        <v>951.25</v>
      </c>
      <c r="I487" s="6">
        <v>761</v>
      </c>
    </row>
    <row r="488" spans="1:9" x14ac:dyDescent="0.3">
      <c r="A488" s="6" t="s">
        <v>1667</v>
      </c>
      <c r="B488" s="6" t="s">
        <v>526</v>
      </c>
      <c r="C488" s="6" t="s">
        <v>613</v>
      </c>
      <c r="D488" s="6">
        <v>1</v>
      </c>
      <c r="E488" s="6" t="s">
        <v>1051</v>
      </c>
      <c r="F488" s="6" t="s">
        <v>1311</v>
      </c>
      <c r="G488" s="6" t="s">
        <v>1080</v>
      </c>
      <c r="H488" s="13">
        <f t="shared" si="7"/>
        <v>123.75</v>
      </c>
      <c r="I488" s="6" t="s">
        <v>981</v>
      </c>
    </row>
    <row r="489" spans="1:9" x14ac:dyDescent="0.3">
      <c r="A489" s="6" t="s">
        <v>1668</v>
      </c>
      <c r="B489" s="6" t="s">
        <v>526</v>
      </c>
      <c r="C489" s="6" t="s">
        <v>679</v>
      </c>
      <c r="D489" s="6">
        <v>1</v>
      </c>
      <c r="E489" s="6" t="s">
        <v>1022</v>
      </c>
      <c r="F489" s="6" t="s">
        <v>1047</v>
      </c>
      <c r="G489" s="6" t="s">
        <v>987</v>
      </c>
      <c r="H489" s="13">
        <f t="shared" si="7"/>
        <v>123.75</v>
      </c>
      <c r="I489" s="6" t="s">
        <v>981</v>
      </c>
    </row>
    <row r="490" spans="1:9" x14ac:dyDescent="0.3">
      <c r="A490" s="6" t="s">
        <v>1669</v>
      </c>
      <c r="B490" s="6" t="s">
        <v>526</v>
      </c>
      <c r="C490" s="6" t="s">
        <v>679</v>
      </c>
      <c r="D490" s="6">
        <v>1</v>
      </c>
      <c r="E490" s="6" t="s">
        <v>1202</v>
      </c>
      <c r="F490" s="6" t="s">
        <v>1169</v>
      </c>
      <c r="G490" s="6" t="s">
        <v>1015</v>
      </c>
      <c r="H490" s="13">
        <f t="shared" si="7"/>
        <v>123.75</v>
      </c>
      <c r="I490" s="6" t="s">
        <v>981</v>
      </c>
    </row>
    <row r="491" spans="1:9" x14ac:dyDescent="0.3">
      <c r="A491" s="6" t="s">
        <v>1670</v>
      </c>
      <c r="B491" s="6" t="s">
        <v>526</v>
      </c>
      <c r="C491" s="6" t="s">
        <v>714</v>
      </c>
      <c r="D491" s="6">
        <v>1</v>
      </c>
      <c r="E491" s="6" t="s">
        <v>1070</v>
      </c>
      <c r="F491" s="6" t="s">
        <v>1122</v>
      </c>
      <c r="G491" s="6" t="s">
        <v>991</v>
      </c>
      <c r="H491" s="13">
        <f t="shared" si="7"/>
        <v>123.75</v>
      </c>
      <c r="I491" s="6" t="s">
        <v>981</v>
      </c>
    </row>
    <row r="492" spans="1:9" x14ac:dyDescent="0.3">
      <c r="A492" s="6" t="s">
        <v>3116</v>
      </c>
      <c r="B492" s="6" t="s">
        <v>546</v>
      </c>
      <c r="C492" s="6" t="s">
        <v>764</v>
      </c>
      <c r="D492" s="6">
        <v>1</v>
      </c>
      <c r="E492" s="6">
        <v>3.5000000000000003E-2</v>
      </c>
      <c r="F492" s="6">
        <v>0.111</v>
      </c>
      <c r="G492" s="6">
        <v>1.0999999999999999E-2</v>
      </c>
      <c r="H492" s="13">
        <f t="shared" si="7"/>
        <v>170</v>
      </c>
      <c r="I492" s="6">
        <v>136</v>
      </c>
    </row>
    <row r="493" spans="1:9" x14ac:dyDescent="0.3">
      <c r="A493" s="6" t="s">
        <v>3117</v>
      </c>
      <c r="B493" s="6" t="s">
        <v>3025</v>
      </c>
      <c r="C493" s="6" t="s">
        <v>613</v>
      </c>
      <c r="D493" s="6">
        <v>1</v>
      </c>
      <c r="E493" s="6">
        <v>1.9E-2</v>
      </c>
      <c r="F493" s="6">
        <v>3.9E-2</v>
      </c>
      <c r="G493" s="6">
        <v>0.26100000000000001</v>
      </c>
      <c r="H493" s="13">
        <f t="shared" si="7"/>
        <v>155</v>
      </c>
      <c r="I493" s="6">
        <v>124</v>
      </c>
    </row>
    <row r="494" spans="1:9" x14ac:dyDescent="0.3">
      <c r="A494" s="6" t="s">
        <v>1671</v>
      </c>
      <c r="B494" s="6" t="s">
        <v>530</v>
      </c>
      <c r="C494" s="6" t="s">
        <v>420</v>
      </c>
      <c r="D494" s="6">
        <v>1</v>
      </c>
      <c r="E494" s="6" t="s">
        <v>1188</v>
      </c>
      <c r="F494" s="6" t="s">
        <v>1672</v>
      </c>
      <c r="G494" s="6" t="s">
        <v>1070</v>
      </c>
      <c r="H494" s="13">
        <f t="shared" si="7"/>
        <v>123.75</v>
      </c>
      <c r="I494" s="6" t="s">
        <v>981</v>
      </c>
    </row>
    <row r="495" spans="1:9" x14ac:dyDescent="0.3">
      <c r="A495" s="6" t="s">
        <v>1673</v>
      </c>
      <c r="B495" s="6" t="s">
        <v>530</v>
      </c>
      <c r="C495" s="6" t="s">
        <v>738</v>
      </c>
      <c r="D495" s="6">
        <v>1</v>
      </c>
      <c r="E495" s="6" t="s">
        <v>1173</v>
      </c>
      <c r="F495" s="6" t="s">
        <v>1081</v>
      </c>
      <c r="G495" s="6" t="s">
        <v>987</v>
      </c>
      <c r="H495" s="13">
        <f t="shared" si="7"/>
        <v>123.75</v>
      </c>
      <c r="I495" s="6" t="s">
        <v>981</v>
      </c>
    </row>
    <row r="496" spans="1:9" x14ac:dyDescent="0.3">
      <c r="A496" s="6" t="s">
        <v>1674</v>
      </c>
      <c r="B496" s="6" t="s">
        <v>530</v>
      </c>
      <c r="C496" s="6" t="s">
        <v>764</v>
      </c>
      <c r="D496" s="6">
        <v>1</v>
      </c>
      <c r="E496" s="6" t="s">
        <v>1473</v>
      </c>
      <c r="F496" s="6" t="s">
        <v>1390</v>
      </c>
      <c r="G496" s="6" t="s">
        <v>1080</v>
      </c>
      <c r="H496" s="13">
        <f t="shared" si="7"/>
        <v>170</v>
      </c>
      <c r="I496" s="6" t="s">
        <v>1120</v>
      </c>
    </row>
    <row r="497" spans="1:9" x14ac:dyDescent="0.3">
      <c r="A497" s="6" t="s">
        <v>1675</v>
      </c>
      <c r="B497" s="6" t="s">
        <v>530</v>
      </c>
      <c r="C497" s="6" t="s">
        <v>766</v>
      </c>
      <c r="D497" s="6">
        <v>1</v>
      </c>
      <c r="E497" s="6" t="s">
        <v>1059</v>
      </c>
      <c r="F497" s="6" t="s">
        <v>1431</v>
      </c>
      <c r="G497" s="6" t="s">
        <v>985</v>
      </c>
      <c r="H497" s="13">
        <f t="shared" si="7"/>
        <v>131.25</v>
      </c>
      <c r="I497" s="6" t="s">
        <v>1031</v>
      </c>
    </row>
    <row r="498" spans="1:9" x14ac:dyDescent="0.3">
      <c r="A498" s="6" t="s">
        <v>3118</v>
      </c>
      <c r="B498" s="6" t="s">
        <v>530</v>
      </c>
      <c r="C498" s="6" t="s">
        <v>546</v>
      </c>
      <c r="D498" s="6">
        <v>1</v>
      </c>
      <c r="E498" s="6">
        <v>1.2999999999999999E-2</v>
      </c>
      <c r="F498" s="6">
        <v>4.1000000000000002E-2</v>
      </c>
      <c r="G498" s="6">
        <v>4.0000000000000001E-3</v>
      </c>
      <c r="H498" s="13">
        <f t="shared" si="7"/>
        <v>170</v>
      </c>
      <c r="I498" s="6">
        <v>136</v>
      </c>
    </row>
    <row r="499" spans="1:9" x14ac:dyDescent="0.3">
      <c r="A499" s="6" t="s">
        <v>1676</v>
      </c>
      <c r="B499" s="6" t="s">
        <v>533</v>
      </c>
      <c r="C499" s="6" t="s">
        <v>605</v>
      </c>
      <c r="D499" s="6">
        <v>1</v>
      </c>
      <c r="E499" s="6" t="s">
        <v>996</v>
      </c>
      <c r="F499" s="6" t="s">
        <v>991</v>
      </c>
      <c r="G499" s="6" t="s">
        <v>992</v>
      </c>
      <c r="H499" s="13">
        <f t="shared" si="7"/>
        <v>125</v>
      </c>
      <c r="I499" s="6" t="s">
        <v>1382</v>
      </c>
    </row>
    <row r="500" spans="1:9" x14ac:dyDescent="0.3">
      <c r="A500" s="6" t="s">
        <v>1677</v>
      </c>
      <c r="B500" s="6" t="s">
        <v>533</v>
      </c>
      <c r="C500" s="6" t="s">
        <v>605</v>
      </c>
      <c r="D500" s="6">
        <v>1</v>
      </c>
      <c r="E500" s="6" t="s">
        <v>1000</v>
      </c>
      <c r="F500" s="6" t="s">
        <v>991</v>
      </c>
      <c r="G500" s="6" t="s">
        <v>992</v>
      </c>
      <c r="H500" s="13">
        <f t="shared" si="7"/>
        <v>123.75</v>
      </c>
      <c r="I500" s="6" t="s">
        <v>981</v>
      </c>
    </row>
    <row r="501" spans="1:9" x14ac:dyDescent="0.3">
      <c r="A501" s="6" t="s">
        <v>1678</v>
      </c>
      <c r="B501" s="6" t="s">
        <v>535</v>
      </c>
      <c r="C501" s="6" t="s">
        <v>611</v>
      </c>
      <c r="D501" s="6">
        <v>1</v>
      </c>
      <c r="E501" s="6" t="s">
        <v>1015</v>
      </c>
      <c r="F501" s="6" t="s">
        <v>1019</v>
      </c>
      <c r="G501" s="6" t="s">
        <v>991</v>
      </c>
      <c r="H501" s="13">
        <f t="shared" si="7"/>
        <v>222.5</v>
      </c>
      <c r="I501" s="6" t="s">
        <v>989</v>
      </c>
    </row>
    <row r="502" spans="1:9" x14ac:dyDescent="0.3">
      <c r="A502" s="6" t="s">
        <v>1679</v>
      </c>
      <c r="B502" s="6" t="s">
        <v>535</v>
      </c>
      <c r="C502" s="6" t="s">
        <v>671</v>
      </c>
      <c r="D502" s="6">
        <v>1</v>
      </c>
      <c r="E502" s="6" t="s">
        <v>1074</v>
      </c>
      <c r="F502" s="6" t="s">
        <v>1275</v>
      </c>
      <c r="G502" s="6" t="s">
        <v>985</v>
      </c>
      <c r="H502" s="13">
        <f t="shared" si="7"/>
        <v>123.75</v>
      </c>
      <c r="I502" s="6" t="s">
        <v>981</v>
      </c>
    </row>
    <row r="503" spans="1:9" x14ac:dyDescent="0.3">
      <c r="A503" s="6" t="s">
        <v>1680</v>
      </c>
      <c r="B503" s="6" t="s">
        <v>539</v>
      </c>
      <c r="C503" s="6" t="s">
        <v>549</v>
      </c>
      <c r="D503" s="6">
        <v>1</v>
      </c>
      <c r="E503" s="6" t="s">
        <v>979</v>
      </c>
      <c r="F503" s="6" t="s">
        <v>1681</v>
      </c>
      <c r="G503" s="6" t="s">
        <v>1107</v>
      </c>
      <c r="H503" s="13">
        <f t="shared" si="7"/>
        <v>123.75</v>
      </c>
      <c r="I503" s="6" t="s">
        <v>981</v>
      </c>
    </row>
    <row r="504" spans="1:9" x14ac:dyDescent="0.3">
      <c r="A504" s="13" t="s">
        <v>1682</v>
      </c>
      <c r="B504" s="13" t="s">
        <v>539</v>
      </c>
      <c r="C504" s="13" t="s">
        <v>557</v>
      </c>
      <c r="D504" s="13">
        <v>1</v>
      </c>
      <c r="E504" s="13">
        <f>0.061/2</f>
        <v>3.0499999999999999E-2</v>
      </c>
      <c r="F504" s="13">
        <f>0.135/2</f>
        <v>6.7500000000000004E-2</v>
      </c>
      <c r="G504" s="13">
        <f>0.013/2</f>
        <v>6.4999999999999997E-3</v>
      </c>
      <c r="H504" s="13">
        <f t="shared" si="7"/>
        <v>123.75</v>
      </c>
      <c r="I504" s="13" t="s">
        <v>981</v>
      </c>
    </row>
    <row r="505" spans="1:9" x14ac:dyDescent="0.3">
      <c r="A505" s="13" t="s">
        <v>1683</v>
      </c>
      <c r="B505" s="13" t="s">
        <v>557</v>
      </c>
      <c r="C505" s="13" t="s">
        <v>711</v>
      </c>
      <c r="D505" s="13">
        <v>1</v>
      </c>
      <c r="E505" s="13">
        <f>0.061/2</f>
        <v>3.0499999999999999E-2</v>
      </c>
      <c r="F505" s="13">
        <f>0.135/2</f>
        <v>6.7500000000000004E-2</v>
      </c>
      <c r="G505" s="13">
        <f>0.013/2</f>
        <v>6.4999999999999997E-3</v>
      </c>
      <c r="H505" s="13">
        <f t="shared" si="7"/>
        <v>123.75</v>
      </c>
      <c r="I505" s="13" t="s">
        <v>981</v>
      </c>
    </row>
    <row r="506" spans="1:9" x14ac:dyDescent="0.3">
      <c r="A506" s="6" t="s">
        <v>1684</v>
      </c>
      <c r="B506" s="6" t="s">
        <v>541</v>
      </c>
      <c r="C506" s="6" t="s">
        <v>742</v>
      </c>
      <c r="D506" s="6">
        <v>1</v>
      </c>
      <c r="E506" s="6" t="s">
        <v>1112</v>
      </c>
      <c r="F506" s="6" t="s">
        <v>1685</v>
      </c>
      <c r="G506" s="6" t="s">
        <v>1051</v>
      </c>
      <c r="H506" s="13">
        <f t="shared" si="7"/>
        <v>102.5</v>
      </c>
      <c r="I506" s="6" t="s">
        <v>1044</v>
      </c>
    </row>
    <row r="507" spans="1:9" x14ac:dyDescent="0.3">
      <c r="A507" s="6" t="s">
        <v>1686</v>
      </c>
      <c r="B507" s="6" t="s">
        <v>541</v>
      </c>
      <c r="C507" s="6" t="s">
        <v>742</v>
      </c>
      <c r="D507" s="6">
        <v>1</v>
      </c>
      <c r="E507" s="6" t="s">
        <v>1005</v>
      </c>
      <c r="F507" s="6" t="s">
        <v>1687</v>
      </c>
      <c r="G507" s="6" t="s">
        <v>1011</v>
      </c>
      <c r="H507" s="13">
        <f t="shared" si="7"/>
        <v>100</v>
      </c>
      <c r="I507" s="6" t="s">
        <v>1236</v>
      </c>
    </row>
    <row r="508" spans="1:9" x14ac:dyDescent="0.3">
      <c r="A508" s="6" t="s">
        <v>1688</v>
      </c>
      <c r="B508" s="6" t="s">
        <v>549</v>
      </c>
      <c r="C508" s="6" t="s">
        <v>592</v>
      </c>
      <c r="D508" s="6">
        <v>1</v>
      </c>
      <c r="E508" s="6" t="s">
        <v>1202</v>
      </c>
      <c r="F508" s="6" t="s">
        <v>1124</v>
      </c>
      <c r="G508" s="6" t="s">
        <v>1018</v>
      </c>
      <c r="H508" s="13">
        <f t="shared" si="7"/>
        <v>123.75</v>
      </c>
      <c r="I508" s="6" t="s">
        <v>981</v>
      </c>
    </row>
    <row r="509" spans="1:9" x14ac:dyDescent="0.3">
      <c r="A509" s="6" t="s">
        <v>1689</v>
      </c>
      <c r="B509" s="6" t="s">
        <v>549</v>
      </c>
      <c r="C509" s="6" t="s">
        <v>609</v>
      </c>
      <c r="D509" s="6">
        <v>1</v>
      </c>
      <c r="E509" s="6" t="s">
        <v>1022</v>
      </c>
      <c r="F509" s="6" t="s">
        <v>1560</v>
      </c>
      <c r="G509" s="6" t="s">
        <v>1015</v>
      </c>
      <c r="H509" s="13">
        <f t="shared" si="7"/>
        <v>123.75</v>
      </c>
      <c r="I509" s="6" t="s">
        <v>981</v>
      </c>
    </row>
    <row r="510" spans="1:9" x14ac:dyDescent="0.3">
      <c r="A510" s="6" t="s">
        <v>1690</v>
      </c>
      <c r="B510" s="6" t="s">
        <v>549</v>
      </c>
      <c r="C510" s="6" t="s">
        <v>686</v>
      </c>
      <c r="D510" s="6">
        <v>1</v>
      </c>
      <c r="E510" s="6" t="s">
        <v>1188</v>
      </c>
      <c r="F510" s="6" t="s">
        <v>1607</v>
      </c>
      <c r="G510" s="6" t="s">
        <v>1070</v>
      </c>
      <c r="H510" s="13">
        <f t="shared" si="7"/>
        <v>118.75</v>
      </c>
      <c r="I510" s="6" t="s">
        <v>1691</v>
      </c>
    </row>
    <row r="511" spans="1:9" x14ac:dyDescent="0.3">
      <c r="A511" s="6" t="s">
        <v>1692</v>
      </c>
      <c r="B511" s="6" t="s">
        <v>553</v>
      </c>
      <c r="C511" s="6" t="s">
        <v>744</v>
      </c>
      <c r="D511" s="6">
        <v>1</v>
      </c>
      <c r="E511" s="6" t="s">
        <v>991</v>
      </c>
      <c r="F511" s="6" t="s">
        <v>1054</v>
      </c>
      <c r="G511" s="6" t="s">
        <v>1693</v>
      </c>
      <c r="H511" s="13">
        <f t="shared" si="7"/>
        <v>887.5</v>
      </c>
      <c r="I511" s="6" t="s">
        <v>1191</v>
      </c>
    </row>
    <row r="512" spans="1:9" x14ac:dyDescent="0.3">
      <c r="A512" s="6" t="s">
        <v>1694</v>
      </c>
      <c r="B512" s="6" t="s">
        <v>553</v>
      </c>
      <c r="C512" s="6" t="s">
        <v>744</v>
      </c>
      <c r="D512" s="6">
        <v>1</v>
      </c>
      <c r="E512" s="6" t="s">
        <v>991</v>
      </c>
      <c r="F512" s="6" t="s">
        <v>1054</v>
      </c>
      <c r="G512" s="6" t="s">
        <v>1693</v>
      </c>
      <c r="H512" s="13">
        <f t="shared" si="7"/>
        <v>887.5</v>
      </c>
      <c r="I512" s="6" t="s">
        <v>1191</v>
      </c>
    </row>
    <row r="513" spans="1:9" x14ac:dyDescent="0.3">
      <c r="A513" s="6" t="s">
        <v>1695</v>
      </c>
      <c r="B513" s="6" t="s">
        <v>551</v>
      </c>
      <c r="C513" s="6" t="s">
        <v>805</v>
      </c>
      <c r="D513" s="6">
        <v>1</v>
      </c>
      <c r="E513" s="6" t="s">
        <v>987</v>
      </c>
      <c r="F513" s="6" t="s">
        <v>1139</v>
      </c>
      <c r="G513" s="6" t="s">
        <v>1185</v>
      </c>
      <c r="H513" s="13">
        <f t="shared" si="7"/>
        <v>437.5</v>
      </c>
      <c r="I513" s="6" t="s">
        <v>1413</v>
      </c>
    </row>
    <row r="514" spans="1:9" x14ac:dyDescent="0.3">
      <c r="A514" s="13" t="s">
        <v>1696</v>
      </c>
      <c r="B514" s="13" t="s">
        <v>556</v>
      </c>
      <c r="C514" s="13" t="s">
        <v>557</v>
      </c>
      <c r="D514" s="13">
        <v>1</v>
      </c>
      <c r="E514" s="13">
        <v>1E-4</v>
      </c>
      <c r="F514" s="13">
        <v>1E-4</v>
      </c>
      <c r="G514" s="13">
        <v>6.0000000000000001E-3</v>
      </c>
      <c r="H514" s="13">
        <f t="shared" si="7"/>
        <v>150</v>
      </c>
      <c r="I514" s="13">
        <v>120</v>
      </c>
    </row>
    <row r="515" spans="1:9" x14ac:dyDescent="0.3">
      <c r="A515" s="6" t="s">
        <v>1697</v>
      </c>
      <c r="B515" s="6" t="s">
        <v>559</v>
      </c>
      <c r="C515" s="6" t="s">
        <v>761</v>
      </c>
      <c r="D515" s="6">
        <v>1</v>
      </c>
      <c r="E515" s="6" t="s">
        <v>1184</v>
      </c>
      <c r="F515" s="6" t="s">
        <v>1092</v>
      </c>
      <c r="G515" s="6" t="s">
        <v>991</v>
      </c>
      <c r="H515" s="13">
        <f t="shared" ref="H515:H578" si="8">I515*1.25</f>
        <v>130</v>
      </c>
      <c r="I515" s="6" t="s">
        <v>1038</v>
      </c>
    </row>
    <row r="516" spans="1:9" x14ac:dyDescent="0.3">
      <c r="A516" s="6" t="s">
        <v>1698</v>
      </c>
      <c r="B516" s="6" t="s">
        <v>566</v>
      </c>
      <c r="C516" s="6" t="s">
        <v>770</v>
      </c>
      <c r="D516" s="6">
        <v>1</v>
      </c>
      <c r="E516" s="6" t="s">
        <v>996</v>
      </c>
      <c r="F516" s="6" t="s">
        <v>1016</v>
      </c>
      <c r="G516" s="6" t="s">
        <v>1089</v>
      </c>
      <c r="H516" s="13">
        <f t="shared" si="8"/>
        <v>887.5</v>
      </c>
      <c r="I516" s="6" t="s">
        <v>1191</v>
      </c>
    </row>
    <row r="517" spans="1:9" x14ac:dyDescent="0.3">
      <c r="A517" s="6" t="s">
        <v>1699</v>
      </c>
      <c r="B517" s="6" t="s">
        <v>566</v>
      </c>
      <c r="C517" s="6" t="s">
        <v>770</v>
      </c>
      <c r="D517" s="6">
        <v>1</v>
      </c>
      <c r="E517" s="6" t="s">
        <v>996</v>
      </c>
      <c r="F517" s="6" t="s">
        <v>1016</v>
      </c>
      <c r="G517" s="6" t="s">
        <v>1089</v>
      </c>
      <c r="H517" s="13">
        <f t="shared" si="8"/>
        <v>887.5</v>
      </c>
      <c r="I517" s="6" t="s">
        <v>1191</v>
      </c>
    </row>
    <row r="518" spans="1:9" x14ac:dyDescent="0.3">
      <c r="A518" s="6" t="s">
        <v>1700</v>
      </c>
      <c r="B518" s="6" t="s">
        <v>570</v>
      </c>
      <c r="C518" s="6" t="s">
        <v>131</v>
      </c>
      <c r="D518" s="6">
        <v>1</v>
      </c>
      <c r="E518" s="6" t="s">
        <v>1470</v>
      </c>
      <c r="F518" s="6" t="s">
        <v>1701</v>
      </c>
      <c r="G518" s="6" t="s">
        <v>1016</v>
      </c>
      <c r="H518" s="13">
        <f t="shared" si="8"/>
        <v>123.75</v>
      </c>
      <c r="I518" s="6" t="s">
        <v>981</v>
      </c>
    </row>
    <row r="519" spans="1:9" x14ac:dyDescent="0.3">
      <c r="A519" s="6" t="s">
        <v>1702</v>
      </c>
      <c r="B519" s="6" t="s">
        <v>570</v>
      </c>
      <c r="C519" s="6" t="s">
        <v>436</v>
      </c>
      <c r="D519" s="6">
        <v>1</v>
      </c>
      <c r="E519" s="6" t="s">
        <v>1000</v>
      </c>
      <c r="F519" s="6" t="s">
        <v>987</v>
      </c>
      <c r="G519" s="6" t="s">
        <v>1000</v>
      </c>
      <c r="H519" s="13">
        <f t="shared" si="8"/>
        <v>123.75</v>
      </c>
      <c r="I519" s="6" t="s">
        <v>981</v>
      </c>
    </row>
    <row r="520" spans="1:9" x14ac:dyDescent="0.3">
      <c r="A520" s="6" t="s">
        <v>1703</v>
      </c>
      <c r="B520" s="6" t="s">
        <v>570</v>
      </c>
      <c r="C520" s="6" t="s">
        <v>681</v>
      </c>
      <c r="D520" s="6">
        <v>1</v>
      </c>
      <c r="E520" s="6" t="s">
        <v>1061</v>
      </c>
      <c r="F520" s="6" t="s">
        <v>1022</v>
      </c>
      <c r="G520" s="6" t="s">
        <v>1000</v>
      </c>
      <c r="H520" s="13">
        <f t="shared" si="8"/>
        <v>100</v>
      </c>
      <c r="I520" s="6" t="s">
        <v>1236</v>
      </c>
    </row>
    <row r="521" spans="1:9" x14ac:dyDescent="0.3">
      <c r="A521" s="6" t="s">
        <v>1704</v>
      </c>
      <c r="B521" s="6" t="s">
        <v>570</v>
      </c>
      <c r="C521" s="6" t="s">
        <v>694</v>
      </c>
      <c r="D521" s="6">
        <v>1</v>
      </c>
      <c r="E521" s="6" t="s">
        <v>1011</v>
      </c>
      <c r="F521" s="6" t="s">
        <v>1043</v>
      </c>
      <c r="G521" s="6" t="s">
        <v>1015</v>
      </c>
      <c r="H521" s="13">
        <f t="shared" si="8"/>
        <v>222.5</v>
      </c>
      <c r="I521" s="6" t="s">
        <v>989</v>
      </c>
    </row>
    <row r="522" spans="1:9" x14ac:dyDescent="0.3">
      <c r="A522" s="6" t="s">
        <v>1705</v>
      </c>
      <c r="B522" s="6" t="s">
        <v>572</v>
      </c>
      <c r="C522" s="6" t="s">
        <v>705</v>
      </c>
      <c r="D522" s="6">
        <v>1</v>
      </c>
      <c r="E522" s="6" t="s">
        <v>992</v>
      </c>
      <c r="F522" s="6" t="s">
        <v>1170</v>
      </c>
      <c r="G522" s="6" t="s">
        <v>1706</v>
      </c>
      <c r="H522" s="13">
        <f t="shared" si="8"/>
        <v>336.25</v>
      </c>
      <c r="I522" s="6" t="s">
        <v>1621</v>
      </c>
    </row>
    <row r="523" spans="1:9" x14ac:dyDescent="0.3">
      <c r="A523" s="6" t="s">
        <v>1707</v>
      </c>
      <c r="B523" s="6" t="s">
        <v>572</v>
      </c>
      <c r="C523" s="6" t="s">
        <v>759</v>
      </c>
      <c r="D523" s="6">
        <v>1</v>
      </c>
      <c r="E523" s="6" t="s">
        <v>980</v>
      </c>
      <c r="F523" s="6" t="s">
        <v>1149</v>
      </c>
      <c r="G523" s="6" t="s">
        <v>1708</v>
      </c>
      <c r="H523" s="13">
        <f t="shared" si="8"/>
        <v>406.25</v>
      </c>
      <c r="I523" s="6" t="s">
        <v>1709</v>
      </c>
    </row>
    <row r="524" spans="1:9" x14ac:dyDescent="0.3">
      <c r="A524" s="6" t="s">
        <v>1710</v>
      </c>
      <c r="B524" s="6" t="s">
        <v>572</v>
      </c>
      <c r="C524" s="6" t="s">
        <v>805</v>
      </c>
      <c r="D524" s="6">
        <v>1</v>
      </c>
      <c r="E524" s="6" t="s">
        <v>991</v>
      </c>
      <c r="F524" s="6" t="s">
        <v>1202</v>
      </c>
      <c r="G524" s="6" t="s">
        <v>1043</v>
      </c>
      <c r="H524" s="13">
        <f t="shared" si="8"/>
        <v>437.5</v>
      </c>
      <c r="I524" s="6" t="s">
        <v>1413</v>
      </c>
    </row>
    <row r="525" spans="1:9" x14ac:dyDescent="0.3">
      <c r="A525" s="6" t="s">
        <v>1711</v>
      </c>
      <c r="B525" s="6" t="s">
        <v>574</v>
      </c>
      <c r="C525" s="6" t="s">
        <v>631</v>
      </c>
      <c r="D525" s="6">
        <v>1</v>
      </c>
      <c r="E525" s="6" t="s">
        <v>996</v>
      </c>
      <c r="F525" s="6" t="s">
        <v>1000</v>
      </c>
      <c r="G525" s="6" t="s">
        <v>1092</v>
      </c>
      <c r="H525" s="13">
        <f t="shared" si="8"/>
        <v>148.75</v>
      </c>
      <c r="I525" s="6" t="s">
        <v>1159</v>
      </c>
    </row>
    <row r="526" spans="1:9" x14ac:dyDescent="0.3">
      <c r="A526" s="6" t="s">
        <v>1712</v>
      </c>
      <c r="B526" s="6" t="s">
        <v>574</v>
      </c>
      <c r="C526" s="6" t="s">
        <v>803</v>
      </c>
      <c r="D526" s="6">
        <v>1</v>
      </c>
      <c r="E526" s="6" t="s">
        <v>996</v>
      </c>
      <c r="F526" s="6" t="s">
        <v>1000</v>
      </c>
      <c r="G526" s="6" t="s">
        <v>1011</v>
      </c>
      <c r="H526" s="13">
        <f t="shared" si="8"/>
        <v>150</v>
      </c>
      <c r="I526" s="6" t="s">
        <v>1065</v>
      </c>
    </row>
    <row r="527" spans="1:9" x14ac:dyDescent="0.3">
      <c r="A527" s="6" t="s">
        <v>1713</v>
      </c>
      <c r="B527" s="6" t="s">
        <v>581</v>
      </c>
      <c r="C527" s="6" t="s">
        <v>675</v>
      </c>
      <c r="D527" s="6">
        <v>1</v>
      </c>
      <c r="E527" s="6" t="s">
        <v>1000</v>
      </c>
      <c r="F527" s="6" t="s">
        <v>1018</v>
      </c>
      <c r="G527" s="6" t="s">
        <v>1043</v>
      </c>
      <c r="H527" s="13">
        <f t="shared" si="8"/>
        <v>175</v>
      </c>
      <c r="I527" s="6" t="s">
        <v>1020</v>
      </c>
    </row>
    <row r="528" spans="1:9" x14ac:dyDescent="0.3">
      <c r="A528" s="6" t="s">
        <v>1714</v>
      </c>
      <c r="B528" s="6" t="s">
        <v>581</v>
      </c>
      <c r="C528" s="6" t="s">
        <v>782</v>
      </c>
      <c r="D528" s="6">
        <v>1</v>
      </c>
      <c r="E528" s="6" t="s">
        <v>996</v>
      </c>
      <c r="F528" s="6" t="s">
        <v>1000</v>
      </c>
      <c r="G528" s="6" t="s">
        <v>1070</v>
      </c>
      <c r="H528" s="13">
        <f t="shared" si="8"/>
        <v>175</v>
      </c>
      <c r="I528" s="6" t="s">
        <v>1020</v>
      </c>
    </row>
    <row r="529" spans="1:9" x14ac:dyDescent="0.3">
      <c r="A529" s="6" t="s">
        <v>1715</v>
      </c>
      <c r="B529" s="6" t="s">
        <v>583</v>
      </c>
      <c r="C529" s="6" t="s">
        <v>799</v>
      </c>
      <c r="D529" s="6">
        <v>1</v>
      </c>
      <c r="E529" s="6" t="s">
        <v>1043</v>
      </c>
      <c r="F529" s="6" t="s">
        <v>1368</v>
      </c>
      <c r="G529" s="6" t="s">
        <v>987</v>
      </c>
      <c r="H529" s="13">
        <f t="shared" si="8"/>
        <v>123.75</v>
      </c>
      <c r="I529" s="6" t="s">
        <v>981</v>
      </c>
    </row>
    <row r="530" spans="1:9" x14ac:dyDescent="0.3">
      <c r="A530" s="13" t="s">
        <v>3119</v>
      </c>
      <c r="B530" s="13" t="s">
        <v>583</v>
      </c>
      <c r="C530" s="13" t="s">
        <v>532</v>
      </c>
      <c r="D530" s="13">
        <v>1</v>
      </c>
      <c r="E530" s="13">
        <v>5.0000000000000001E-3</v>
      </c>
      <c r="F530" s="13">
        <v>1.0999999999999999E-2</v>
      </c>
      <c r="G530" s="13">
        <v>3.0000000000000001E-3</v>
      </c>
      <c r="H530" s="13">
        <f t="shared" si="8"/>
        <v>131.25</v>
      </c>
      <c r="I530" s="13">
        <v>105</v>
      </c>
    </row>
    <row r="531" spans="1:9" x14ac:dyDescent="0.3">
      <c r="A531" s="6" t="s">
        <v>1716</v>
      </c>
      <c r="B531" s="6" t="s">
        <v>585</v>
      </c>
      <c r="C531" s="6" t="s">
        <v>675</v>
      </c>
      <c r="D531" s="6">
        <v>1</v>
      </c>
      <c r="E531" s="6" t="s">
        <v>991</v>
      </c>
      <c r="F531" s="6" t="s">
        <v>1015</v>
      </c>
      <c r="G531" s="6" t="s">
        <v>1131</v>
      </c>
      <c r="H531" s="13">
        <f t="shared" si="8"/>
        <v>125</v>
      </c>
      <c r="I531" s="6" t="s">
        <v>1382</v>
      </c>
    </row>
    <row r="532" spans="1:9" x14ac:dyDescent="0.3">
      <c r="A532" s="6" t="s">
        <v>1717</v>
      </c>
      <c r="B532" s="6" t="s">
        <v>585</v>
      </c>
      <c r="C532" s="6" t="s">
        <v>675</v>
      </c>
      <c r="D532" s="6">
        <v>1</v>
      </c>
      <c r="E532" s="6" t="s">
        <v>991</v>
      </c>
      <c r="F532" s="6" t="s">
        <v>980</v>
      </c>
      <c r="G532" s="6" t="s">
        <v>1005</v>
      </c>
      <c r="H532" s="13">
        <f t="shared" si="8"/>
        <v>150</v>
      </c>
      <c r="I532" s="6" t="s">
        <v>1065</v>
      </c>
    </row>
    <row r="533" spans="1:9" x14ac:dyDescent="0.3">
      <c r="A533" s="6" t="s">
        <v>1718</v>
      </c>
      <c r="B533" s="6" t="s">
        <v>587</v>
      </c>
      <c r="C533" s="6" t="s">
        <v>637</v>
      </c>
      <c r="D533" s="6">
        <v>1</v>
      </c>
      <c r="E533" s="6" t="s">
        <v>1030</v>
      </c>
      <c r="F533" s="6" t="s">
        <v>1719</v>
      </c>
      <c r="G533" s="6" t="s">
        <v>1080</v>
      </c>
      <c r="H533" s="13">
        <f t="shared" si="8"/>
        <v>173.75</v>
      </c>
      <c r="I533" s="6" t="s">
        <v>1720</v>
      </c>
    </row>
    <row r="534" spans="1:9" x14ac:dyDescent="0.3">
      <c r="A534" s="6" t="s">
        <v>1721</v>
      </c>
      <c r="B534" s="6" t="s">
        <v>590</v>
      </c>
      <c r="C534" s="6" t="s">
        <v>784</v>
      </c>
      <c r="D534" s="6">
        <v>1</v>
      </c>
      <c r="E534" s="6" t="s">
        <v>1184</v>
      </c>
      <c r="F534" s="6" t="s">
        <v>1522</v>
      </c>
      <c r="G534" s="6" t="s">
        <v>1030</v>
      </c>
      <c r="H534" s="13">
        <f t="shared" si="8"/>
        <v>168.75</v>
      </c>
      <c r="I534" s="6" t="s">
        <v>1652</v>
      </c>
    </row>
    <row r="535" spans="1:9" x14ac:dyDescent="0.3">
      <c r="A535" s="6" t="s">
        <v>3120</v>
      </c>
      <c r="B535" s="6" t="s">
        <v>594</v>
      </c>
      <c r="C535" s="6" t="s">
        <v>608</v>
      </c>
      <c r="D535" s="6">
        <v>1</v>
      </c>
      <c r="E535" s="6">
        <v>1E-3</v>
      </c>
      <c r="F535" s="6">
        <v>3.0000000000000001E-3</v>
      </c>
      <c r="G535" s="6">
        <v>3.3000000000000002E-2</v>
      </c>
      <c r="H535" s="13">
        <f t="shared" si="8"/>
        <v>237.5</v>
      </c>
      <c r="I535" s="6">
        <v>190</v>
      </c>
    </row>
    <row r="536" spans="1:9" x14ac:dyDescent="0.3">
      <c r="A536" s="6" t="s">
        <v>1722</v>
      </c>
      <c r="B536" s="6" t="s">
        <v>597</v>
      </c>
      <c r="C536" s="6" t="s">
        <v>746</v>
      </c>
      <c r="D536" s="6">
        <v>1</v>
      </c>
      <c r="E536" s="6" t="s">
        <v>1107</v>
      </c>
      <c r="F536" s="6" t="s">
        <v>1030</v>
      </c>
      <c r="G536" s="6" t="s">
        <v>1018</v>
      </c>
      <c r="H536" s="13">
        <f t="shared" si="8"/>
        <v>123.75</v>
      </c>
      <c r="I536" s="6" t="s">
        <v>981</v>
      </c>
    </row>
    <row r="537" spans="1:9" x14ac:dyDescent="0.3">
      <c r="A537" s="6" t="s">
        <v>1723</v>
      </c>
      <c r="B537" s="6" t="s">
        <v>597</v>
      </c>
      <c r="C537" s="6" t="s">
        <v>746</v>
      </c>
      <c r="D537" s="6">
        <v>1</v>
      </c>
      <c r="E537" s="6" t="s">
        <v>985</v>
      </c>
      <c r="F537" s="6" t="s">
        <v>1127</v>
      </c>
      <c r="G537" s="6" t="s">
        <v>1018</v>
      </c>
      <c r="H537" s="13">
        <f t="shared" si="8"/>
        <v>123.75</v>
      </c>
      <c r="I537" s="6" t="s">
        <v>981</v>
      </c>
    </row>
    <row r="538" spans="1:9" x14ac:dyDescent="0.3">
      <c r="A538" s="6" t="s">
        <v>1724</v>
      </c>
      <c r="B538" s="6" t="s">
        <v>603</v>
      </c>
      <c r="C538" s="6" t="s">
        <v>643</v>
      </c>
      <c r="D538" s="6">
        <v>1</v>
      </c>
      <c r="E538" s="6" t="s">
        <v>1018</v>
      </c>
      <c r="F538" s="6" t="s">
        <v>978</v>
      </c>
      <c r="G538" s="6" t="s">
        <v>1725</v>
      </c>
      <c r="H538" s="13">
        <f t="shared" si="8"/>
        <v>1603.75</v>
      </c>
      <c r="I538" s="6">
        <v>1283</v>
      </c>
    </row>
    <row r="539" spans="1:9" x14ac:dyDescent="0.3">
      <c r="A539" s="6" t="s">
        <v>1726</v>
      </c>
      <c r="B539" s="6" t="s">
        <v>601</v>
      </c>
      <c r="C539" s="6" t="s">
        <v>662</v>
      </c>
      <c r="D539" s="6">
        <v>1</v>
      </c>
      <c r="E539" s="6" t="s">
        <v>996</v>
      </c>
      <c r="F539" s="6" t="s">
        <v>1016</v>
      </c>
      <c r="G539" s="6" t="s">
        <v>992</v>
      </c>
      <c r="H539" s="13">
        <f t="shared" si="8"/>
        <v>671.25</v>
      </c>
      <c r="I539" s="6" t="s">
        <v>1727</v>
      </c>
    </row>
    <row r="540" spans="1:9" x14ac:dyDescent="0.3">
      <c r="A540" s="6" t="s">
        <v>1728</v>
      </c>
      <c r="B540" s="6" t="s">
        <v>599</v>
      </c>
      <c r="C540" s="6" t="s">
        <v>754</v>
      </c>
      <c r="D540" s="6">
        <v>1</v>
      </c>
      <c r="E540" s="6" t="s">
        <v>1015</v>
      </c>
      <c r="F540" s="6" t="s">
        <v>1022</v>
      </c>
      <c r="G540" s="6" t="s">
        <v>991</v>
      </c>
      <c r="H540" s="13">
        <f t="shared" si="8"/>
        <v>222.5</v>
      </c>
      <c r="I540" s="6" t="s">
        <v>989</v>
      </c>
    </row>
    <row r="541" spans="1:9" x14ac:dyDescent="0.3">
      <c r="A541" s="6" t="s">
        <v>1729</v>
      </c>
      <c r="B541" s="6" t="s">
        <v>605</v>
      </c>
      <c r="C541" s="6" t="s">
        <v>752</v>
      </c>
      <c r="D541" s="6">
        <v>1</v>
      </c>
      <c r="E541" s="6" t="s">
        <v>996</v>
      </c>
      <c r="F541" s="6" t="s">
        <v>1000</v>
      </c>
      <c r="G541" s="6" t="s">
        <v>1092</v>
      </c>
      <c r="H541" s="13">
        <f t="shared" si="8"/>
        <v>222.5</v>
      </c>
      <c r="I541" s="6" t="s">
        <v>989</v>
      </c>
    </row>
    <row r="542" spans="1:9" x14ac:dyDescent="0.3">
      <c r="A542" s="6" t="s">
        <v>1730</v>
      </c>
      <c r="B542" s="6" t="s">
        <v>605</v>
      </c>
      <c r="C542" s="6" t="s">
        <v>752</v>
      </c>
      <c r="D542" s="6">
        <v>1</v>
      </c>
      <c r="E542" s="6" t="s">
        <v>996</v>
      </c>
      <c r="F542" s="6" t="s">
        <v>996</v>
      </c>
      <c r="G542" s="6" t="s">
        <v>1122</v>
      </c>
      <c r="H542" s="13">
        <f t="shared" si="8"/>
        <v>222.5</v>
      </c>
      <c r="I542" s="6" t="s">
        <v>989</v>
      </c>
    </row>
    <row r="543" spans="1:9" x14ac:dyDescent="0.3">
      <c r="A543" s="6" t="s">
        <v>1731</v>
      </c>
      <c r="B543" s="6" t="s">
        <v>611</v>
      </c>
      <c r="C543" s="6" t="s">
        <v>615</v>
      </c>
      <c r="D543" s="6">
        <v>1</v>
      </c>
      <c r="E543" s="6" t="s">
        <v>996</v>
      </c>
      <c r="F543" s="6" t="s">
        <v>1000</v>
      </c>
      <c r="G543" s="6" t="s">
        <v>995</v>
      </c>
      <c r="H543" s="13">
        <f t="shared" si="8"/>
        <v>131.25</v>
      </c>
      <c r="I543" s="6" t="s">
        <v>1031</v>
      </c>
    </row>
    <row r="544" spans="1:9" x14ac:dyDescent="0.3">
      <c r="A544" s="6" t="s">
        <v>1732</v>
      </c>
      <c r="B544" s="6" t="s">
        <v>611</v>
      </c>
      <c r="C544" s="6" t="s">
        <v>615</v>
      </c>
      <c r="D544" s="6">
        <v>1</v>
      </c>
      <c r="E544" s="6" t="s">
        <v>996</v>
      </c>
      <c r="F544" s="6" t="s">
        <v>1000</v>
      </c>
      <c r="G544" s="6" t="s">
        <v>995</v>
      </c>
      <c r="H544" s="13">
        <f t="shared" si="8"/>
        <v>131.25</v>
      </c>
      <c r="I544" s="6" t="s">
        <v>1031</v>
      </c>
    </row>
    <row r="545" spans="1:9" x14ac:dyDescent="0.3">
      <c r="A545" s="6" t="s">
        <v>1733</v>
      </c>
      <c r="B545" s="6" t="s">
        <v>626</v>
      </c>
      <c r="C545" s="6" t="s">
        <v>131</v>
      </c>
      <c r="D545" s="6">
        <v>1</v>
      </c>
      <c r="E545" s="6" t="s">
        <v>1107</v>
      </c>
      <c r="F545" s="6" t="s">
        <v>1074</v>
      </c>
      <c r="G545" s="6" t="s">
        <v>1018</v>
      </c>
      <c r="H545" s="13">
        <f t="shared" si="8"/>
        <v>170</v>
      </c>
      <c r="I545" s="6" t="s">
        <v>1120</v>
      </c>
    </row>
    <row r="546" spans="1:9" x14ac:dyDescent="0.3">
      <c r="A546" s="6" t="s">
        <v>1734</v>
      </c>
      <c r="B546" s="6" t="s">
        <v>626</v>
      </c>
      <c r="C546" s="6" t="s">
        <v>657</v>
      </c>
      <c r="D546" s="6">
        <v>1</v>
      </c>
      <c r="E546" s="6" t="s">
        <v>1064</v>
      </c>
      <c r="F546" s="6" t="s">
        <v>1735</v>
      </c>
      <c r="G546" s="6" t="s">
        <v>1070</v>
      </c>
      <c r="H546" s="13">
        <f t="shared" si="8"/>
        <v>131.25</v>
      </c>
      <c r="I546" s="6" t="s">
        <v>1031</v>
      </c>
    </row>
    <row r="547" spans="1:9" x14ac:dyDescent="0.3">
      <c r="A547" s="6" t="s">
        <v>1736</v>
      </c>
      <c r="B547" s="6" t="s">
        <v>628</v>
      </c>
      <c r="C547" s="6" t="s">
        <v>742</v>
      </c>
      <c r="D547" s="6">
        <v>1</v>
      </c>
      <c r="E547" s="6" t="s">
        <v>1122</v>
      </c>
      <c r="F547" s="6" t="s">
        <v>1185</v>
      </c>
      <c r="G547" s="6" t="s">
        <v>1061</v>
      </c>
      <c r="H547" s="13">
        <f t="shared" si="8"/>
        <v>102.5</v>
      </c>
      <c r="I547" s="6" t="s">
        <v>1044</v>
      </c>
    </row>
    <row r="548" spans="1:9" x14ac:dyDescent="0.3">
      <c r="A548" s="6" t="s">
        <v>1737</v>
      </c>
      <c r="B548" s="6" t="s">
        <v>628</v>
      </c>
      <c r="C548" s="6" t="s">
        <v>742</v>
      </c>
      <c r="D548" s="6">
        <v>1</v>
      </c>
      <c r="E548" s="6" t="s">
        <v>1122</v>
      </c>
      <c r="F548" s="6" t="s">
        <v>1185</v>
      </c>
      <c r="G548" s="6" t="s">
        <v>1061</v>
      </c>
      <c r="H548" s="13">
        <f t="shared" si="8"/>
        <v>102.5</v>
      </c>
      <c r="I548" s="6" t="s">
        <v>1044</v>
      </c>
    </row>
    <row r="549" spans="1:9" x14ac:dyDescent="0.3">
      <c r="A549" s="6" t="s">
        <v>1738</v>
      </c>
      <c r="B549" s="6" t="s">
        <v>631</v>
      </c>
      <c r="C549" s="6" t="s">
        <v>675</v>
      </c>
      <c r="D549" s="6">
        <v>1</v>
      </c>
      <c r="E549" s="6" t="s">
        <v>996</v>
      </c>
      <c r="F549" s="6" t="s">
        <v>1000</v>
      </c>
      <c r="G549" s="6" t="s">
        <v>997</v>
      </c>
      <c r="H549" s="13">
        <f t="shared" si="8"/>
        <v>148.75</v>
      </c>
      <c r="I549" s="6" t="s">
        <v>1159</v>
      </c>
    </row>
    <row r="550" spans="1:9" x14ac:dyDescent="0.3">
      <c r="A550" s="6" t="s">
        <v>1739</v>
      </c>
      <c r="B550" s="6" t="s">
        <v>633</v>
      </c>
      <c r="C550" s="6" t="s">
        <v>653</v>
      </c>
      <c r="D550" s="6">
        <v>1</v>
      </c>
      <c r="E550" s="6" t="s">
        <v>995</v>
      </c>
      <c r="F550" s="6" t="s">
        <v>996</v>
      </c>
      <c r="G550" s="6" t="s">
        <v>1740</v>
      </c>
      <c r="H550" s="13">
        <f t="shared" si="8"/>
        <v>415</v>
      </c>
      <c r="I550" s="6" t="s">
        <v>1516</v>
      </c>
    </row>
    <row r="551" spans="1:9" x14ac:dyDescent="0.3">
      <c r="A551" s="6" t="s">
        <v>1741</v>
      </c>
      <c r="B551" s="6" t="s">
        <v>637</v>
      </c>
      <c r="C551" s="6" t="s">
        <v>738</v>
      </c>
      <c r="D551" s="6">
        <v>1</v>
      </c>
      <c r="E551" s="6" t="s">
        <v>1056</v>
      </c>
      <c r="F551" s="6" t="s">
        <v>1085</v>
      </c>
      <c r="G551" s="6" t="s">
        <v>985</v>
      </c>
      <c r="H551" s="13">
        <f t="shared" si="8"/>
        <v>136.25</v>
      </c>
      <c r="I551" s="6" t="s">
        <v>1028</v>
      </c>
    </row>
    <row r="552" spans="1:9" x14ac:dyDescent="0.3">
      <c r="A552" s="6" t="s">
        <v>1742</v>
      </c>
      <c r="B552" s="6" t="s">
        <v>637</v>
      </c>
      <c r="C552" s="6" t="s">
        <v>738</v>
      </c>
      <c r="D552" s="6">
        <v>1</v>
      </c>
      <c r="E552" s="6" t="s">
        <v>1473</v>
      </c>
      <c r="F552" s="6" t="s">
        <v>1743</v>
      </c>
      <c r="G552" s="6" t="s">
        <v>985</v>
      </c>
      <c r="H552" s="13">
        <f t="shared" si="8"/>
        <v>102.5</v>
      </c>
      <c r="I552" s="6" t="s">
        <v>1044</v>
      </c>
    </row>
    <row r="553" spans="1:9" x14ac:dyDescent="0.3">
      <c r="A553" s="6" t="s">
        <v>1744</v>
      </c>
      <c r="B553" s="6" t="s">
        <v>637</v>
      </c>
      <c r="C553" s="6" t="s">
        <v>775</v>
      </c>
      <c r="D553" s="6">
        <v>1</v>
      </c>
      <c r="E553" s="6" t="s">
        <v>1019</v>
      </c>
      <c r="F553" s="6" t="s">
        <v>1214</v>
      </c>
      <c r="G553" s="6" t="s">
        <v>987</v>
      </c>
      <c r="H553" s="13">
        <f t="shared" si="8"/>
        <v>232.5</v>
      </c>
      <c r="I553" s="6" t="s">
        <v>1369</v>
      </c>
    </row>
    <row r="554" spans="1:9" x14ac:dyDescent="0.3">
      <c r="A554" s="6" t="s">
        <v>1745</v>
      </c>
      <c r="B554" s="6" t="s">
        <v>640</v>
      </c>
      <c r="C554" s="6" t="s">
        <v>597</v>
      </c>
      <c r="D554" s="6">
        <v>1</v>
      </c>
      <c r="E554" s="6" t="s">
        <v>1004</v>
      </c>
      <c r="F554" s="6" t="s">
        <v>983</v>
      </c>
      <c r="G554" s="6" t="s">
        <v>1015</v>
      </c>
      <c r="H554" s="13">
        <f t="shared" si="8"/>
        <v>131.25</v>
      </c>
      <c r="I554" s="6" t="s">
        <v>1031</v>
      </c>
    </row>
    <row r="555" spans="1:9" x14ac:dyDescent="0.3">
      <c r="A555" s="6" t="s">
        <v>1746</v>
      </c>
      <c r="B555" s="6" t="s">
        <v>641</v>
      </c>
      <c r="C555" s="6" t="s">
        <v>787</v>
      </c>
      <c r="D555" s="6">
        <v>1</v>
      </c>
      <c r="E555" s="6" t="s">
        <v>996</v>
      </c>
      <c r="F555" s="6" t="s">
        <v>1061</v>
      </c>
      <c r="G555" s="6" t="s">
        <v>1070</v>
      </c>
      <c r="H555" s="13">
        <f t="shared" si="8"/>
        <v>542.5</v>
      </c>
      <c r="I555" s="6" t="s">
        <v>1013</v>
      </c>
    </row>
    <row r="556" spans="1:9" x14ac:dyDescent="0.3">
      <c r="A556" s="6" t="s">
        <v>1747</v>
      </c>
      <c r="B556" s="6" t="s">
        <v>643</v>
      </c>
      <c r="C556" s="6" t="s">
        <v>808</v>
      </c>
      <c r="D556" s="6">
        <v>1</v>
      </c>
      <c r="E556" s="6" t="s">
        <v>1018</v>
      </c>
      <c r="F556" s="6" t="s">
        <v>1470</v>
      </c>
      <c r="G556" s="6" t="s">
        <v>1748</v>
      </c>
      <c r="H556" s="13">
        <f t="shared" si="8"/>
        <v>1971.25</v>
      </c>
      <c r="I556" s="6">
        <v>1577</v>
      </c>
    </row>
    <row r="557" spans="1:9" x14ac:dyDescent="0.3">
      <c r="A557" s="6" t="s">
        <v>1749</v>
      </c>
      <c r="B557" s="6" t="s">
        <v>647</v>
      </c>
      <c r="C557" s="6" t="s">
        <v>645</v>
      </c>
      <c r="D557" s="6">
        <v>1</v>
      </c>
      <c r="E557" s="6" t="s">
        <v>992</v>
      </c>
      <c r="F557" s="6" t="s">
        <v>997</v>
      </c>
      <c r="G557" s="6" t="s">
        <v>1018</v>
      </c>
      <c r="H557" s="13">
        <f t="shared" si="8"/>
        <v>131.25</v>
      </c>
      <c r="I557" s="6" t="s">
        <v>1031</v>
      </c>
    </row>
    <row r="558" spans="1:9" x14ac:dyDescent="0.3">
      <c r="A558" s="6" t="s">
        <v>1750</v>
      </c>
      <c r="B558" s="6" t="s">
        <v>649</v>
      </c>
      <c r="C558" s="6" t="s">
        <v>734</v>
      </c>
      <c r="D558" s="6">
        <v>1</v>
      </c>
      <c r="E558" s="6" t="s">
        <v>1173</v>
      </c>
      <c r="F558" s="6" t="s">
        <v>1142</v>
      </c>
      <c r="G558" s="6" t="s">
        <v>987</v>
      </c>
      <c r="H558" s="13">
        <f t="shared" si="8"/>
        <v>131.25</v>
      </c>
      <c r="I558" s="6" t="s">
        <v>1031</v>
      </c>
    </row>
    <row r="559" spans="1:9" x14ac:dyDescent="0.3">
      <c r="A559" s="6" t="s">
        <v>1751</v>
      </c>
      <c r="B559" s="6" t="s">
        <v>653</v>
      </c>
      <c r="C559" s="6" t="s">
        <v>241</v>
      </c>
      <c r="D559" s="6">
        <v>1</v>
      </c>
      <c r="E559" s="6" t="s">
        <v>996</v>
      </c>
      <c r="F559" s="6" t="s">
        <v>1015</v>
      </c>
      <c r="G559" s="6" t="s">
        <v>1752</v>
      </c>
      <c r="H559" s="13">
        <f t="shared" si="8"/>
        <v>333.75</v>
      </c>
      <c r="I559" s="6" t="s">
        <v>1594</v>
      </c>
    </row>
    <row r="560" spans="1:9" x14ac:dyDescent="0.3">
      <c r="A560" s="6" t="s">
        <v>1753</v>
      </c>
      <c r="B560" s="6" t="s">
        <v>653</v>
      </c>
      <c r="C560" s="6" t="s">
        <v>653</v>
      </c>
      <c r="D560" s="13">
        <v>0</v>
      </c>
      <c r="E560" s="6" t="s">
        <v>995</v>
      </c>
      <c r="F560" s="6" t="s">
        <v>988</v>
      </c>
      <c r="G560" s="6" t="s">
        <v>995</v>
      </c>
      <c r="H560" s="13">
        <f t="shared" si="8"/>
        <v>562.5</v>
      </c>
      <c r="I560" s="6" t="s">
        <v>1754</v>
      </c>
    </row>
    <row r="561" spans="1:9" x14ac:dyDescent="0.3">
      <c r="A561" s="6" t="s">
        <v>1755</v>
      </c>
      <c r="B561" s="6" t="s">
        <v>651</v>
      </c>
      <c r="C561" s="6" t="s">
        <v>675</v>
      </c>
      <c r="D561" s="6">
        <v>1</v>
      </c>
      <c r="E561" s="6" t="s">
        <v>995</v>
      </c>
      <c r="F561" s="13" t="s">
        <v>1000</v>
      </c>
      <c r="G561" s="6" t="s">
        <v>1056</v>
      </c>
      <c r="H561" s="13">
        <f t="shared" si="8"/>
        <v>336.25</v>
      </c>
      <c r="I561" s="6" t="s">
        <v>1621</v>
      </c>
    </row>
    <row r="562" spans="1:9" x14ac:dyDescent="0.3">
      <c r="A562" s="6" t="s">
        <v>1756</v>
      </c>
      <c r="B562" s="6" t="s">
        <v>651</v>
      </c>
      <c r="C562" s="6" t="s">
        <v>675</v>
      </c>
      <c r="D562" s="6">
        <v>1</v>
      </c>
      <c r="E562" s="6" t="s">
        <v>995</v>
      </c>
      <c r="F562" s="6" t="s">
        <v>1000</v>
      </c>
      <c r="G562" s="6" t="s">
        <v>1056</v>
      </c>
      <c r="H562" s="13">
        <f t="shared" si="8"/>
        <v>336.25</v>
      </c>
      <c r="I562" s="6" t="s">
        <v>1621</v>
      </c>
    </row>
    <row r="563" spans="1:9" x14ac:dyDescent="0.3">
      <c r="A563" s="6" t="s">
        <v>1757</v>
      </c>
      <c r="B563" s="6" t="s">
        <v>653</v>
      </c>
      <c r="C563" s="6" t="s">
        <v>708</v>
      </c>
      <c r="D563" s="6">
        <v>1</v>
      </c>
      <c r="E563" s="6" t="s">
        <v>995</v>
      </c>
      <c r="F563" s="13">
        <v>1E-3</v>
      </c>
      <c r="G563" s="6" t="s">
        <v>991</v>
      </c>
      <c r="H563" s="13">
        <f t="shared" si="8"/>
        <v>741.25</v>
      </c>
      <c r="I563" s="6" t="s">
        <v>998</v>
      </c>
    </row>
    <row r="564" spans="1:9" x14ac:dyDescent="0.3">
      <c r="A564" s="6" t="s">
        <v>3121</v>
      </c>
      <c r="B564" s="6" t="s">
        <v>655</v>
      </c>
      <c r="C564" s="6" t="s">
        <v>635</v>
      </c>
      <c r="D564" s="6">
        <v>1</v>
      </c>
      <c r="E564" s="6">
        <v>2E-3</v>
      </c>
      <c r="F564" s="6">
        <v>8.9999999999999993E-3</v>
      </c>
      <c r="G564" s="6">
        <v>4.0000000000000001E-3</v>
      </c>
      <c r="H564" s="13">
        <f t="shared" si="8"/>
        <v>222.5</v>
      </c>
      <c r="I564" s="6">
        <v>178</v>
      </c>
    </row>
    <row r="565" spans="1:9" x14ac:dyDescent="0.3">
      <c r="A565" s="6" t="s">
        <v>3122</v>
      </c>
      <c r="B565" s="6" t="s">
        <v>3054</v>
      </c>
      <c r="C565" s="6" t="s">
        <v>657</v>
      </c>
      <c r="D565" s="6">
        <v>1</v>
      </c>
      <c r="E565" s="6">
        <v>4.2999999999999997E-2</v>
      </c>
      <c r="F565" s="6">
        <v>0.13800000000000001</v>
      </c>
      <c r="G565" s="6">
        <v>2.8000000000000001E-2</v>
      </c>
      <c r="H565" s="13">
        <f t="shared" si="8"/>
        <v>170</v>
      </c>
      <c r="I565" s="6">
        <v>136</v>
      </c>
    </row>
    <row r="566" spans="1:9" x14ac:dyDescent="0.3">
      <c r="A566" s="6" t="s">
        <v>1758</v>
      </c>
      <c r="B566" s="6" t="s">
        <v>662</v>
      </c>
      <c r="C566" s="6" t="s">
        <v>750</v>
      </c>
      <c r="D566" s="6">
        <v>1</v>
      </c>
      <c r="E566" s="6" t="s">
        <v>996</v>
      </c>
      <c r="F566" s="6" t="s">
        <v>987</v>
      </c>
      <c r="G566" s="6" t="s">
        <v>1759</v>
      </c>
      <c r="H566" s="13">
        <f t="shared" si="8"/>
        <v>583.75</v>
      </c>
      <c r="I566" s="6" t="s">
        <v>1760</v>
      </c>
    </row>
    <row r="567" spans="1:9" x14ac:dyDescent="0.3">
      <c r="A567" s="6" t="s">
        <v>1761</v>
      </c>
      <c r="B567" s="6" t="s">
        <v>667</v>
      </c>
      <c r="C567" s="6" t="s">
        <v>691</v>
      </c>
      <c r="D567" s="6">
        <v>1</v>
      </c>
      <c r="E567" s="6" t="s">
        <v>991</v>
      </c>
      <c r="F567" s="6" t="s">
        <v>987</v>
      </c>
      <c r="G567" s="6" t="s">
        <v>996</v>
      </c>
      <c r="H567" s="13">
        <f t="shared" si="8"/>
        <v>78.75</v>
      </c>
      <c r="I567" s="6" t="s">
        <v>1205</v>
      </c>
    </row>
    <row r="568" spans="1:9" x14ac:dyDescent="0.3">
      <c r="A568" s="6" t="s">
        <v>1762</v>
      </c>
      <c r="B568" s="6" t="s">
        <v>667</v>
      </c>
      <c r="C568" s="6" t="s">
        <v>752</v>
      </c>
      <c r="D568" s="6">
        <v>1</v>
      </c>
      <c r="E568" s="6" t="s">
        <v>1184</v>
      </c>
      <c r="F568" s="6" t="s">
        <v>988</v>
      </c>
      <c r="G568" s="6" t="s">
        <v>1015</v>
      </c>
      <c r="H568" s="13">
        <f t="shared" si="8"/>
        <v>243.75</v>
      </c>
      <c r="I568" s="6" t="s">
        <v>1145</v>
      </c>
    </row>
    <row r="569" spans="1:9" x14ac:dyDescent="0.3">
      <c r="A569" s="6" t="s">
        <v>1763</v>
      </c>
      <c r="B569" s="6" t="s">
        <v>667</v>
      </c>
      <c r="C569" s="6" t="s">
        <v>752</v>
      </c>
      <c r="D569" s="6">
        <v>1</v>
      </c>
      <c r="E569" s="6" t="s">
        <v>980</v>
      </c>
      <c r="F569" s="6" t="s">
        <v>1122</v>
      </c>
      <c r="G569" s="6" t="s">
        <v>1015</v>
      </c>
      <c r="H569" s="13">
        <f t="shared" si="8"/>
        <v>222.5</v>
      </c>
      <c r="I569" s="6" t="s">
        <v>989</v>
      </c>
    </row>
    <row r="570" spans="1:9" x14ac:dyDescent="0.3">
      <c r="A570" s="6" t="s">
        <v>1764</v>
      </c>
      <c r="B570" s="6" t="s">
        <v>675</v>
      </c>
      <c r="C570" s="6" t="s">
        <v>796</v>
      </c>
      <c r="D570" s="6">
        <v>1</v>
      </c>
      <c r="E570" s="6" t="s">
        <v>995</v>
      </c>
      <c r="F570" s="13">
        <v>1E-3</v>
      </c>
      <c r="G570" s="6" t="s">
        <v>1054</v>
      </c>
      <c r="H570" s="13">
        <f t="shared" si="8"/>
        <v>156.25</v>
      </c>
      <c r="I570" s="6" t="s">
        <v>1765</v>
      </c>
    </row>
    <row r="571" spans="1:9" x14ac:dyDescent="0.3">
      <c r="A571" s="6" t="s">
        <v>1766</v>
      </c>
      <c r="B571" s="6" t="s">
        <v>677</v>
      </c>
      <c r="C571" s="6" t="s">
        <v>780</v>
      </c>
      <c r="D571" s="6">
        <v>1</v>
      </c>
      <c r="E571" s="6" t="s">
        <v>1015</v>
      </c>
      <c r="F571" s="6" t="s">
        <v>991</v>
      </c>
      <c r="G571" s="6" t="s">
        <v>1767</v>
      </c>
      <c r="H571" s="13">
        <f t="shared" si="8"/>
        <v>156.25</v>
      </c>
      <c r="I571" s="6" t="s">
        <v>1765</v>
      </c>
    </row>
    <row r="572" spans="1:9" x14ac:dyDescent="0.3">
      <c r="A572" s="6" t="s">
        <v>3123</v>
      </c>
      <c r="B572" s="6" t="s">
        <v>681</v>
      </c>
      <c r="C572" s="6" t="s">
        <v>332</v>
      </c>
      <c r="D572" s="6">
        <v>1</v>
      </c>
      <c r="E572" s="6" t="s">
        <v>1202</v>
      </c>
      <c r="F572" s="6" t="s">
        <v>1768</v>
      </c>
      <c r="G572" s="6" t="s">
        <v>1011</v>
      </c>
      <c r="H572" s="13">
        <f t="shared" si="8"/>
        <v>123.75</v>
      </c>
      <c r="I572" s="6" t="s">
        <v>981</v>
      </c>
    </row>
    <row r="573" spans="1:9" x14ac:dyDescent="0.3">
      <c r="A573" s="6" t="s">
        <v>1769</v>
      </c>
      <c r="B573" s="6" t="s">
        <v>686</v>
      </c>
      <c r="C573" s="6" t="s">
        <v>711</v>
      </c>
      <c r="D573" s="6">
        <v>1</v>
      </c>
      <c r="E573" s="6" t="s">
        <v>1202</v>
      </c>
      <c r="F573" s="6" t="s">
        <v>1149</v>
      </c>
      <c r="G573" s="6" t="s">
        <v>1018</v>
      </c>
      <c r="H573" s="13">
        <f t="shared" si="8"/>
        <v>118.75</v>
      </c>
      <c r="I573" s="6" t="s">
        <v>1691</v>
      </c>
    </row>
    <row r="574" spans="1:9" x14ac:dyDescent="0.3">
      <c r="A574" s="6" t="s">
        <v>1770</v>
      </c>
      <c r="B574" s="6" t="s">
        <v>698</v>
      </c>
      <c r="C574" s="6" t="s">
        <v>576</v>
      </c>
      <c r="D574" s="6">
        <v>1</v>
      </c>
      <c r="E574" s="6" t="s">
        <v>1015</v>
      </c>
      <c r="F574" s="6" t="s">
        <v>1080</v>
      </c>
      <c r="G574" s="6" t="s">
        <v>1015</v>
      </c>
      <c r="H574" s="13">
        <f t="shared" si="8"/>
        <v>123.75</v>
      </c>
      <c r="I574" s="6" t="s">
        <v>981</v>
      </c>
    </row>
    <row r="575" spans="1:9" x14ac:dyDescent="0.3">
      <c r="A575" s="6" t="s">
        <v>1771</v>
      </c>
      <c r="B575" s="6" t="s">
        <v>703</v>
      </c>
      <c r="C575" s="6" t="s">
        <v>321</v>
      </c>
      <c r="D575" s="6">
        <v>1</v>
      </c>
      <c r="E575" s="6" t="s">
        <v>1061</v>
      </c>
      <c r="F575" s="6" t="s">
        <v>1025</v>
      </c>
      <c r="G575" s="6" t="s">
        <v>987</v>
      </c>
      <c r="H575" s="13">
        <f t="shared" si="8"/>
        <v>222.5</v>
      </c>
      <c r="I575" s="6" t="s">
        <v>989</v>
      </c>
    </row>
    <row r="576" spans="1:9" x14ac:dyDescent="0.3">
      <c r="A576" s="6" t="s">
        <v>1772</v>
      </c>
      <c r="B576" s="6" t="s">
        <v>703</v>
      </c>
      <c r="C576" s="6" t="s">
        <v>455</v>
      </c>
      <c r="D576" s="6">
        <v>1</v>
      </c>
      <c r="E576" s="6" t="s">
        <v>1005</v>
      </c>
      <c r="F576" s="6" t="s">
        <v>1773</v>
      </c>
      <c r="G576" s="6" t="s">
        <v>1027</v>
      </c>
      <c r="H576" s="13">
        <f t="shared" si="8"/>
        <v>222.5</v>
      </c>
      <c r="I576" s="6" t="s">
        <v>989</v>
      </c>
    </row>
    <row r="577" spans="1:9" x14ac:dyDescent="0.3">
      <c r="A577" s="6" t="s">
        <v>1774</v>
      </c>
      <c r="B577" s="6" t="s">
        <v>703</v>
      </c>
      <c r="C577" s="6" t="s">
        <v>723</v>
      </c>
      <c r="D577" s="6">
        <v>1</v>
      </c>
      <c r="E577" s="6" t="s">
        <v>1054</v>
      </c>
      <c r="F577" s="6" t="s">
        <v>1473</v>
      </c>
      <c r="G577" s="6" t="s">
        <v>980</v>
      </c>
      <c r="H577" s="13">
        <f t="shared" si="8"/>
        <v>131.25</v>
      </c>
      <c r="I577" s="6" t="s">
        <v>1031</v>
      </c>
    </row>
    <row r="578" spans="1:9" x14ac:dyDescent="0.3">
      <c r="A578" s="6" t="s">
        <v>1775</v>
      </c>
      <c r="B578" s="6" t="s">
        <v>717</v>
      </c>
      <c r="C578" s="6" t="s">
        <v>731</v>
      </c>
      <c r="D578" s="6">
        <v>1</v>
      </c>
      <c r="E578" s="6" t="s">
        <v>992</v>
      </c>
      <c r="F578" s="6" t="s">
        <v>997</v>
      </c>
      <c r="G578" s="6" t="s">
        <v>1018</v>
      </c>
      <c r="H578" s="13">
        <f t="shared" si="8"/>
        <v>123.75</v>
      </c>
      <c r="I578" s="6" t="s">
        <v>981</v>
      </c>
    </row>
    <row r="579" spans="1:9" x14ac:dyDescent="0.3">
      <c r="A579" s="6" t="s">
        <v>1776</v>
      </c>
      <c r="B579" s="6" t="s">
        <v>717</v>
      </c>
      <c r="C579" s="6" t="s">
        <v>731</v>
      </c>
      <c r="D579" s="6">
        <v>1</v>
      </c>
      <c r="E579" s="6" t="s">
        <v>1027</v>
      </c>
      <c r="F579" s="6" t="s">
        <v>1074</v>
      </c>
      <c r="G579" s="6" t="s">
        <v>1018</v>
      </c>
      <c r="H579" s="13">
        <f t="shared" ref="H579:H591" si="9">I579*1.25</f>
        <v>123.75</v>
      </c>
      <c r="I579" s="6" t="s">
        <v>981</v>
      </c>
    </row>
    <row r="580" spans="1:9" x14ac:dyDescent="0.3">
      <c r="A580" s="6" t="s">
        <v>1777</v>
      </c>
      <c r="B580" s="6" t="s">
        <v>725</v>
      </c>
      <c r="C580" s="6" t="s">
        <v>723</v>
      </c>
      <c r="D580" s="6">
        <v>1</v>
      </c>
      <c r="E580" s="6" t="s">
        <v>991</v>
      </c>
      <c r="F580" s="6" t="s">
        <v>987</v>
      </c>
      <c r="G580" s="6" t="s">
        <v>996</v>
      </c>
      <c r="H580" s="13">
        <f t="shared" si="9"/>
        <v>131.25</v>
      </c>
      <c r="I580" s="6" t="s">
        <v>1031</v>
      </c>
    </row>
    <row r="581" spans="1:9" x14ac:dyDescent="0.3">
      <c r="A581" s="6" t="s">
        <v>1778</v>
      </c>
      <c r="B581" s="6" t="s">
        <v>727</v>
      </c>
      <c r="C581" s="6" t="s">
        <v>766</v>
      </c>
      <c r="D581" s="6">
        <v>1</v>
      </c>
      <c r="E581" s="6" t="s">
        <v>987</v>
      </c>
      <c r="F581" s="6" t="s">
        <v>1080</v>
      </c>
      <c r="G581" s="6" t="s">
        <v>1000</v>
      </c>
      <c r="H581" s="13">
        <f t="shared" si="9"/>
        <v>131.25</v>
      </c>
      <c r="I581" s="6" t="s">
        <v>1031</v>
      </c>
    </row>
    <row r="582" spans="1:9" x14ac:dyDescent="0.3">
      <c r="A582" s="6" t="s">
        <v>1779</v>
      </c>
      <c r="B582" s="6" t="s">
        <v>736</v>
      </c>
      <c r="C582" s="6" t="s">
        <v>734</v>
      </c>
      <c r="D582" s="6">
        <v>1</v>
      </c>
      <c r="E582" s="6" t="s">
        <v>991</v>
      </c>
      <c r="F582" s="6" t="s">
        <v>987</v>
      </c>
      <c r="G582" s="6" t="s">
        <v>996</v>
      </c>
      <c r="H582" s="13">
        <f t="shared" si="9"/>
        <v>131.25</v>
      </c>
      <c r="I582" s="6" t="s">
        <v>1031</v>
      </c>
    </row>
    <row r="583" spans="1:9" x14ac:dyDescent="0.3">
      <c r="A583" s="6" t="s">
        <v>1780</v>
      </c>
      <c r="B583" s="6" t="s">
        <v>744</v>
      </c>
      <c r="C583" s="6" t="s">
        <v>770</v>
      </c>
      <c r="D583" s="6">
        <v>1</v>
      </c>
      <c r="E583" s="6" t="s">
        <v>996</v>
      </c>
      <c r="F583" s="6" t="s">
        <v>1016</v>
      </c>
      <c r="G583" s="6" t="s">
        <v>1089</v>
      </c>
      <c r="H583" s="13">
        <f t="shared" si="9"/>
        <v>887.5</v>
      </c>
      <c r="I583" s="6" t="s">
        <v>1191</v>
      </c>
    </row>
    <row r="584" spans="1:9" x14ac:dyDescent="0.3">
      <c r="A584" s="6" t="s">
        <v>1781</v>
      </c>
      <c r="B584" s="6" t="s">
        <v>744</v>
      </c>
      <c r="C584" s="6" t="s">
        <v>770</v>
      </c>
      <c r="D584" s="6">
        <v>1</v>
      </c>
      <c r="E584" s="6" t="s">
        <v>996</v>
      </c>
      <c r="F584" s="6" t="s">
        <v>1016</v>
      </c>
      <c r="G584" s="6" t="s">
        <v>1089</v>
      </c>
      <c r="H584" s="13">
        <f t="shared" si="9"/>
        <v>887.5</v>
      </c>
      <c r="I584" s="6" t="s">
        <v>1191</v>
      </c>
    </row>
    <row r="585" spans="1:9" x14ac:dyDescent="0.3">
      <c r="A585" s="6" t="s">
        <v>1782</v>
      </c>
      <c r="B585" s="6" t="s">
        <v>742</v>
      </c>
      <c r="C585" s="6" t="s">
        <v>791</v>
      </c>
      <c r="D585" s="6">
        <v>1</v>
      </c>
      <c r="E585" s="6" t="s">
        <v>1107</v>
      </c>
      <c r="F585" s="6" t="s">
        <v>1314</v>
      </c>
      <c r="G585" s="6" t="s">
        <v>1015</v>
      </c>
      <c r="H585" s="13">
        <f t="shared" si="9"/>
        <v>98.75</v>
      </c>
      <c r="I585" s="6" t="s">
        <v>1217</v>
      </c>
    </row>
    <row r="586" spans="1:9" x14ac:dyDescent="0.3">
      <c r="A586" s="6" t="s">
        <v>1783</v>
      </c>
      <c r="B586" s="6" t="s">
        <v>742</v>
      </c>
      <c r="C586" s="6" t="s">
        <v>791</v>
      </c>
      <c r="D586" s="6">
        <v>1</v>
      </c>
      <c r="E586" s="6" t="s">
        <v>1107</v>
      </c>
      <c r="F586" s="6" t="s">
        <v>1314</v>
      </c>
      <c r="G586" s="6" t="s">
        <v>1015</v>
      </c>
      <c r="H586" s="13">
        <f t="shared" si="9"/>
        <v>98.75</v>
      </c>
      <c r="I586" s="6" t="s">
        <v>1217</v>
      </c>
    </row>
    <row r="587" spans="1:9" x14ac:dyDescent="0.3">
      <c r="A587" s="6" t="s">
        <v>1784</v>
      </c>
      <c r="B587" s="6" t="s">
        <v>756</v>
      </c>
      <c r="C587" s="6" t="s">
        <v>754</v>
      </c>
      <c r="D587" s="6">
        <v>1</v>
      </c>
      <c r="E587" s="6" t="s">
        <v>1015</v>
      </c>
      <c r="F587" s="6" t="s">
        <v>1051</v>
      </c>
      <c r="G587" s="6" t="s">
        <v>996</v>
      </c>
      <c r="H587" s="13">
        <f t="shared" si="9"/>
        <v>131.25</v>
      </c>
      <c r="I587" s="6" t="s">
        <v>1031</v>
      </c>
    </row>
    <row r="588" spans="1:9" x14ac:dyDescent="0.3">
      <c r="A588" s="6" t="s">
        <v>1785</v>
      </c>
      <c r="B588" s="6" t="s">
        <v>761</v>
      </c>
      <c r="C588" s="6" t="s">
        <v>455</v>
      </c>
      <c r="D588" s="6">
        <v>1</v>
      </c>
      <c r="E588" s="6" t="s">
        <v>1184</v>
      </c>
      <c r="F588" s="6" t="s">
        <v>1093</v>
      </c>
      <c r="G588" s="6" t="s">
        <v>1011</v>
      </c>
      <c r="H588" s="13">
        <f t="shared" si="9"/>
        <v>222.5</v>
      </c>
      <c r="I588" s="6" t="s">
        <v>989</v>
      </c>
    </row>
    <row r="589" spans="1:9" x14ac:dyDescent="0.3">
      <c r="A589" s="6" t="s">
        <v>1786</v>
      </c>
      <c r="B589" s="6" t="s">
        <v>775</v>
      </c>
      <c r="C589" s="6" t="s">
        <v>768</v>
      </c>
      <c r="D589" s="6">
        <v>1</v>
      </c>
      <c r="E589" s="6" t="s">
        <v>1019</v>
      </c>
      <c r="F589" s="6" t="s">
        <v>1441</v>
      </c>
      <c r="G589" s="6" t="s">
        <v>1019</v>
      </c>
      <c r="H589" s="13">
        <f t="shared" si="9"/>
        <v>232.5</v>
      </c>
      <c r="I589" s="6" t="s">
        <v>1369</v>
      </c>
    </row>
    <row r="590" spans="1:9" x14ac:dyDescent="0.3">
      <c r="A590" s="6" t="s">
        <v>1787</v>
      </c>
      <c r="B590" s="6" t="s">
        <v>780</v>
      </c>
      <c r="C590" s="6" t="s">
        <v>645</v>
      </c>
      <c r="D590" s="6">
        <v>1</v>
      </c>
      <c r="E590" s="6" t="s">
        <v>987</v>
      </c>
      <c r="F590" s="6" t="s">
        <v>988</v>
      </c>
      <c r="G590" s="6" t="s">
        <v>1018</v>
      </c>
      <c r="H590" s="13">
        <f t="shared" si="9"/>
        <v>222.5</v>
      </c>
      <c r="I590" s="6" t="s">
        <v>989</v>
      </c>
    </row>
    <row r="591" spans="1:9" x14ac:dyDescent="0.3">
      <c r="A591" s="6" t="s">
        <v>1788</v>
      </c>
      <c r="B591" s="6" t="s">
        <v>808</v>
      </c>
      <c r="C591" s="6" t="s">
        <v>664</v>
      </c>
      <c r="D591" s="6">
        <v>1</v>
      </c>
      <c r="E591" s="6" t="s">
        <v>995</v>
      </c>
      <c r="F591" s="13">
        <v>1E-3</v>
      </c>
      <c r="G591" s="6" t="s">
        <v>1169</v>
      </c>
      <c r="H591" s="13">
        <f t="shared" si="9"/>
        <v>856.25</v>
      </c>
      <c r="I591" s="6" t="s">
        <v>1789</v>
      </c>
    </row>
  </sheetData>
  <autoFilter ref="A1:I551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VO2"/>
  <sheetViews>
    <sheetView zoomScale="110" zoomScaleNormal="110" workbookViewId="0">
      <selection activeCell="B3" sqref="B3"/>
    </sheetView>
  </sheetViews>
  <sheetFormatPr defaultColWidth="8.77734375" defaultRowHeight="14.4" x14ac:dyDescent="0.3"/>
  <cols>
    <col min="1" max="1" width="8.44140625" bestFit="1" customWidth="1"/>
    <col min="2" max="3" width="21.77734375" bestFit="1" customWidth="1"/>
    <col min="4" max="4" width="21.109375" bestFit="1" customWidth="1"/>
    <col min="5" max="5" width="22.77734375" bestFit="1" customWidth="1"/>
    <col min="6" max="6" width="20.5546875" bestFit="1" customWidth="1"/>
    <col min="7" max="7" width="22.109375" bestFit="1" customWidth="1"/>
    <col min="8" max="9" width="21.5546875" bestFit="1" customWidth="1"/>
    <col min="10" max="10" width="20.88671875" bestFit="1" customWidth="1"/>
    <col min="11" max="11" width="21.44140625" bestFit="1" customWidth="1"/>
    <col min="12" max="12" width="21.77734375" bestFit="1" customWidth="1"/>
    <col min="13" max="13" width="23.5546875" bestFit="1" customWidth="1"/>
    <col min="14" max="14" width="22.88671875" bestFit="1" customWidth="1"/>
    <col min="15" max="15" width="24.77734375" bestFit="1" customWidth="1"/>
    <col min="16" max="16" width="22.6640625" bestFit="1" customWidth="1"/>
    <col min="17" max="17" width="22.77734375" bestFit="1" customWidth="1"/>
    <col min="18" max="18" width="21.109375" bestFit="1" customWidth="1"/>
    <col min="19" max="19" width="22.5546875" bestFit="1" customWidth="1"/>
    <col min="20" max="20" width="23.21875" bestFit="1" customWidth="1"/>
    <col min="21" max="22" width="23.77734375" bestFit="1" customWidth="1"/>
    <col min="23" max="23" width="21.88671875" bestFit="1" customWidth="1"/>
    <col min="24" max="24" width="21.5546875" bestFit="1" customWidth="1"/>
    <col min="25" max="25" width="22.5546875" bestFit="1" customWidth="1"/>
    <col min="26" max="27" width="22.88671875" bestFit="1" customWidth="1"/>
    <col min="28" max="28" width="22.44140625" bestFit="1" customWidth="1"/>
    <col min="29" max="29" width="22.21875" bestFit="1" customWidth="1"/>
    <col min="30" max="30" width="21.77734375" bestFit="1" customWidth="1"/>
    <col min="31" max="31" width="23.109375" bestFit="1" customWidth="1"/>
    <col min="32" max="32" width="22.5546875" bestFit="1" customWidth="1"/>
    <col min="33" max="33" width="23.33203125" bestFit="1" customWidth="1"/>
    <col min="34" max="34" width="22.88671875" bestFit="1" customWidth="1"/>
    <col min="35" max="36" width="21.88671875" bestFit="1" customWidth="1"/>
    <col min="37" max="37" width="22.6640625" bestFit="1" customWidth="1"/>
    <col min="38" max="38" width="22.44140625" bestFit="1" customWidth="1"/>
    <col min="39" max="39" width="21.109375" bestFit="1" customWidth="1"/>
    <col min="40" max="40" width="21.21875" bestFit="1" customWidth="1"/>
    <col min="41" max="42" width="22.21875" bestFit="1" customWidth="1"/>
    <col min="43" max="43" width="22.77734375" bestFit="1" customWidth="1"/>
    <col min="44" max="44" width="21.77734375" bestFit="1" customWidth="1"/>
    <col min="45" max="46" width="23.33203125" bestFit="1" customWidth="1"/>
    <col min="47" max="47" width="22.88671875" bestFit="1" customWidth="1"/>
    <col min="48" max="48" width="23.6640625" bestFit="1" customWidth="1"/>
    <col min="49" max="50" width="21.5546875" bestFit="1" customWidth="1"/>
    <col min="51" max="51" width="22.5546875" bestFit="1" customWidth="1"/>
    <col min="52" max="52" width="22.21875" bestFit="1" customWidth="1"/>
    <col min="53" max="55" width="22.109375" bestFit="1" customWidth="1"/>
    <col min="56" max="56" width="23.33203125" bestFit="1" customWidth="1"/>
    <col min="57" max="57" width="22.6640625" bestFit="1" customWidth="1"/>
    <col min="58" max="59" width="24.5546875" bestFit="1" customWidth="1"/>
    <col min="60" max="60" width="22.77734375" bestFit="1" customWidth="1"/>
    <col min="61" max="61" width="22.88671875" bestFit="1" customWidth="1"/>
    <col min="62" max="62" width="22.77734375" bestFit="1" customWidth="1"/>
    <col min="63" max="63" width="23.6640625" bestFit="1" customWidth="1"/>
    <col min="64" max="64" width="23.44140625" bestFit="1" customWidth="1"/>
    <col min="65" max="65" width="22.6640625" bestFit="1" customWidth="1"/>
    <col min="66" max="66" width="23.21875" bestFit="1" customWidth="1"/>
    <col min="67" max="67" width="23" bestFit="1" customWidth="1"/>
    <col min="68" max="68" width="22.5546875" bestFit="1" customWidth="1"/>
    <col min="69" max="69" width="23.109375" bestFit="1" customWidth="1"/>
    <col min="70" max="70" width="20.6640625" bestFit="1" customWidth="1"/>
    <col min="71" max="71" width="21.21875" bestFit="1" customWidth="1"/>
    <col min="72" max="72" width="21.109375" bestFit="1" customWidth="1"/>
    <col min="73" max="73" width="22.109375" bestFit="1" customWidth="1"/>
    <col min="74" max="74" width="21.88671875" bestFit="1" customWidth="1"/>
    <col min="75" max="76" width="20.6640625" bestFit="1" customWidth="1"/>
    <col min="77" max="77" width="22.44140625" bestFit="1" customWidth="1"/>
    <col min="78" max="79" width="22.109375" bestFit="1" customWidth="1"/>
    <col min="80" max="80" width="22.21875" bestFit="1" customWidth="1"/>
    <col min="81" max="81" width="20.88671875" bestFit="1" customWidth="1"/>
    <col min="82" max="82" width="21.5546875" bestFit="1" customWidth="1"/>
    <col min="83" max="83" width="22.44140625" bestFit="1" customWidth="1"/>
    <col min="84" max="84" width="22.33203125" bestFit="1" customWidth="1"/>
    <col min="85" max="85" width="22.109375" bestFit="1" customWidth="1"/>
    <col min="86" max="86" width="21.6640625" bestFit="1" customWidth="1"/>
    <col min="87" max="90" width="24.21875" bestFit="1" customWidth="1"/>
    <col min="91" max="92" width="25.33203125" bestFit="1" customWidth="1"/>
    <col min="93" max="93" width="22.88671875" bestFit="1" customWidth="1"/>
    <col min="94" max="94" width="22.5546875" bestFit="1" customWidth="1"/>
    <col min="95" max="95" width="22.6640625" bestFit="1" customWidth="1"/>
    <col min="96" max="96" width="22.21875" bestFit="1" customWidth="1"/>
    <col min="97" max="98" width="24" bestFit="1" customWidth="1"/>
    <col min="99" max="101" width="23.6640625" bestFit="1" customWidth="1"/>
    <col min="102" max="102" width="24.109375" bestFit="1" customWidth="1"/>
    <col min="103" max="103" width="23.21875" bestFit="1" customWidth="1"/>
    <col min="104" max="104" width="24.6640625" bestFit="1" customWidth="1"/>
    <col min="105" max="105" width="24" bestFit="1" customWidth="1"/>
    <col min="106" max="107" width="22.21875" bestFit="1" customWidth="1"/>
    <col min="108" max="109" width="22.109375" bestFit="1" customWidth="1"/>
    <col min="110" max="110" width="22.44140625" bestFit="1" customWidth="1"/>
    <col min="111" max="111" width="22.5546875" bestFit="1" customWidth="1"/>
    <col min="112" max="113" width="23.77734375" bestFit="1" customWidth="1"/>
    <col min="114" max="115" width="24" bestFit="1" customWidth="1"/>
    <col min="116" max="116" width="22.33203125" bestFit="1" customWidth="1"/>
    <col min="117" max="117" width="22.109375" bestFit="1" customWidth="1"/>
    <col min="118" max="118" width="22.44140625" bestFit="1" customWidth="1"/>
    <col min="119" max="119" width="23.21875" bestFit="1" customWidth="1"/>
    <col min="120" max="121" width="22.21875" bestFit="1" customWidth="1"/>
    <col min="122" max="122" width="22.5546875" bestFit="1" customWidth="1"/>
    <col min="123" max="123" width="23.109375" bestFit="1" customWidth="1"/>
    <col min="124" max="124" width="22.88671875" bestFit="1" customWidth="1"/>
    <col min="125" max="125" width="23.109375" bestFit="1" customWidth="1"/>
    <col min="126" max="126" width="22.33203125" bestFit="1" customWidth="1"/>
    <col min="127" max="127" width="21.77734375" bestFit="1" customWidth="1"/>
    <col min="128" max="131" width="24" bestFit="1" customWidth="1"/>
    <col min="132" max="133" width="23.88671875" bestFit="1" customWidth="1"/>
    <col min="134" max="135" width="24.33203125" bestFit="1" customWidth="1"/>
    <col min="136" max="137" width="24.21875" bestFit="1" customWidth="1"/>
    <col min="138" max="138" width="23.5546875" bestFit="1" customWidth="1"/>
    <col min="139" max="140" width="24.21875" bestFit="1" customWidth="1"/>
    <col min="141" max="144" width="24" bestFit="1" customWidth="1"/>
    <col min="145" max="145" width="24.109375" bestFit="1" customWidth="1"/>
    <col min="146" max="146" width="22.33203125" bestFit="1" customWidth="1"/>
    <col min="147" max="147" width="21.44140625" bestFit="1" customWidth="1"/>
    <col min="148" max="148" width="22.6640625" bestFit="1" customWidth="1"/>
    <col min="149" max="149" width="22.33203125" bestFit="1" customWidth="1"/>
    <col min="150" max="150" width="22.109375" bestFit="1" customWidth="1"/>
    <col min="151" max="152" width="21.88671875" bestFit="1" customWidth="1"/>
    <col min="153" max="154" width="22.88671875" bestFit="1" customWidth="1"/>
    <col min="155" max="155" width="21.109375" bestFit="1" customWidth="1"/>
    <col min="156" max="156" width="22.109375" bestFit="1" customWidth="1"/>
    <col min="157" max="157" width="22.88671875" bestFit="1" customWidth="1"/>
    <col min="158" max="159" width="22.109375" bestFit="1" customWidth="1"/>
    <col min="160" max="160" width="21.88671875" bestFit="1" customWidth="1"/>
    <col min="161" max="161" width="22.6640625" bestFit="1" customWidth="1"/>
    <col min="162" max="162" width="22.88671875" bestFit="1" customWidth="1"/>
    <col min="163" max="163" width="22.44140625" bestFit="1" customWidth="1"/>
    <col min="164" max="165" width="22.6640625" bestFit="1" customWidth="1"/>
    <col min="166" max="166" width="23.88671875" bestFit="1" customWidth="1"/>
    <col min="167" max="167" width="22" bestFit="1" customWidth="1"/>
    <col min="168" max="168" width="22.6640625" bestFit="1" customWidth="1"/>
    <col min="169" max="169" width="22.33203125" bestFit="1" customWidth="1"/>
    <col min="170" max="171" width="24" bestFit="1" customWidth="1"/>
    <col min="172" max="172" width="21.77734375" bestFit="1" customWidth="1"/>
    <col min="173" max="173" width="21.109375" bestFit="1" customWidth="1"/>
    <col min="174" max="174" width="19.5546875" bestFit="1" customWidth="1"/>
    <col min="175" max="176" width="20.88671875" bestFit="1" customWidth="1"/>
    <col min="177" max="177" width="21.21875" bestFit="1" customWidth="1"/>
    <col min="178" max="179" width="20.88671875" bestFit="1" customWidth="1"/>
    <col min="180" max="180" width="22.5546875" bestFit="1" customWidth="1"/>
    <col min="181" max="182" width="22.44140625" bestFit="1" customWidth="1"/>
    <col min="183" max="183" width="23" bestFit="1" customWidth="1"/>
    <col min="184" max="184" width="22.109375" bestFit="1" customWidth="1"/>
    <col min="185" max="186" width="22.44140625" bestFit="1" customWidth="1"/>
    <col min="187" max="187" width="22.77734375" bestFit="1" customWidth="1"/>
    <col min="188" max="188" width="22.88671875" bestFit="1" customWidth="1"/>
    <col min="189" max="189" width="23.33203125" bestFit="1" customWidth="1"/>
    <col min="190" max="190" width="23" bestFit="1" customWidth="1"/>
    <col min="191" max="192" width="22.6640625" bestFit="1" customWidth="1"/>
    <col min="193" max="193" width="22.21875" bestFit="1" customWidth="1"/>
    <col min="194" max="194" width="22.88671875" bestFit="1" customWidth="1"/>
    <col min="195" max="195" width="22.44140625" bestFit="1" customWidth="1"/>
    <col min="196" max="196" width="22.88671875" bestFit="1" customWidth="1"/>
    <col min="197" max="198" width="22.33203125" bestFit="1" customWidth="1"/>
    <col min="199" max="199" width="22.88671875" bestFit="1" customWidth="1"/>
    <col min="200" max="200" width="22.21875" bestFit="1" customWidth="1"/>
    <col min="201" max="202" width="22.88671875" bestFit="1" customWidth="1"/>
    <col min="203" max="203" width="22.33203125" bestFit="1" customWidth="1"/>
    <col min="204" max="204" width="23.109375" bestFit="1" customWidth="1"/>
    <col min="205" max="205" width="22.6640625" bestFit="1" customWidth="1"/>
    <col min="206" max="206" width="21.77734375" bestFit="1" customWidth="1"/>
    <col min="207" max="207" width="21.5546875" bestFit="1" customWidth="1"/>
    <col min="208" max="208" width="21.77734375" bestFit="1" customWidth="1"/>
    <col min="209" max="210" width="20.88671875" bestFit="1" customWidth="1"/>
    <col min="211" max="211" width="22.5546875" bestFit="1" customWidth="1"/>
    <col min="212" max="212" width="22.88671875" bestFit="1" customWidth="1"/>
    <col min="213" max="214" width="22.21875" bestFit="1" customWidth="1"/>
    <col min="215" max="216" width="22.6640625" bestFit="1" customWidth="1"/>
    <col min="217" max="217" width="21.77734375" bestFit="1" customWidth="1"/>
    <col min="218" max="219" width="23.6640625" bestFit="1" customWidth="1"/>
    <col min="220" max="221" width="24" bestFit="1" customWidth="1"/>
    <col min="222" max="222" width="23.6640625" bestFit="1" customWidth="1"/>
    <col min="223" max="224" width="22.44140625" bestFit="1" customWidth="1"/>
    <col min="225" max="225" width="23.77734375" bestFit="1" customWidth="1"/>
    <col min="226" max="226" width="23.44140625" bestFit="1" customWidth="1"/>
    <col min="227" max="229" width="22" bestFit="1" customWidth="1"/>
    <col min="230" max="231" width="23.33203125" bestFit="1" customWidth="1"/>
    <col min="232" max="232" width="23.21875" bestFit="1" customWidth="1"/>
    <col min="233" max="233" width="23.5546875" bestFit="1" customWidth="1"/>
    <col min="234" max="234" width="22.77734375" bestFit="1" customWidth="1"/>
    <col min="235" max="235" width="22.21875" bestFit="1" customWidth="1"/>
    <col min="236" max="236" width="24.109375" bestFit="1" customWidth="1"/>
    <col min="237" max="237" width="23.44140625" bestFit="1" customWidth="1"/>
    <col min="238" max="239" width="24" bestFit="1" customWidth="1"/>
    <col min="240" max="241" width="24.6640625" bestFit="1" customWidth="1"/>
    <col min="242" max="244" width="23.44140625" bestFit="1" customWidth="1"/>
    <col min="245" max="246" width="23" bestFit="1" customWidth="1"/>
    <col min="247" max="247" width="23.77734375" bestFit="1" customWidth="1"/>
    <col min="248" max="248" width="25" bestFit="1" customWidth="1"/>
    <col min="249" max="250" width="23.21875" bestFit="1" customWidth="1"/>
    <col min="251" max="251" width="20.88671875" bestFit="1" customWidth="1"/>
    <col min="252" max="252" width="22.44140625" bestFit="1" customWidth="1"/>
    <col min="253" max="253" width="22.21875" bestFit="1" customWidth="1"/>
    <col min="254" max="254" width="22" bestFit="1" customWidth="1"/>
    <col min="255" max="255" width="22.6640625" bestFit="1" customWidth="1"/>
    <col min="256" max="256" width="21.88671875" bestFit="1" customWidth="1"/>
    <col min="257" max="259" width="22.33203125" bestFit="1" customWidth="1"/>
    <col min="260" max="260" width="22.44140625" bestFit="1" customWidth="1"/>
    <col min="261" max="261" width="21.88671875" bestFit="1" customWidth="1"/>
    <col min="262" max="262" width="23" bestFit="1" customWidth="1"/>
    <col min="263" max="263" width="22.33203125" bestFit="1" customWidth="1"/>
    <col min="264" max="266" width="21.77734375" bestFit="1" customWidth="1"/>
    <col min="267" max="267" width="22.88671875" bestFit="1" customWidth="1"/>
    <col min="268" max="268" width="20.6640625" bestFit="1" customWidth="1"/>
    <col min="269" max="269" width="22.33203125" bestFit="1" customWidth="1"/>
    <col min="270" max="270" width="23" bestFit="1" customWidth="1"/>
    <col min="271" max="271" width="22.77734375" bestFit="1" customWidth="1"/>
    <col min="272" max="272" width="21.77734375" bestFit="1" customWidth="1"/>
    <col min="273" max="273" width="23.109375" bestFit="1" customWidth="1"/>
    <col min="274" max="274" width="22.88671875" bestFit="1" customWidth="1"/>
    <col min="275" max="275" width="22.77734375" bestFit="1" customWidth="1"/>
    <col min="276" max="276" width="23.21875" bestFit="1" customWidth="1"/>
    <col min="277" max="277" width="21.77734375" bestFit="1" customWidth="1"/>
    <col min="278" max="278" width="24" bestFit="1" customWidth="1"/>
    <col min="279" max="279" width="22.88671875" bestFit="1" customWidth="1"/>
    <col min="280" max="280" width="23.109375" bestFit="1" customWidth="1"/>
    <col min="281" max="281" width="22.33203125" bestFit="1" customWidth="1"/>
    <col min="282" max="282" width="22.6640625" bestFit="1" customWidth="1"/>
    <col min="283" max="283" width="23" bestFit="1" customWidth="1"/>
    <col min="284" max="284" width="21.88671875" bestFit="1" customWidth="1"/>
    <col min="285" max="285" width="22.44140625" bestFit="1" customWidth="1"/>
    <col min="286" max="286" width="23" bestFit="1" customWidth="1"/>
    <col min="287" max="287" width="22.109375" bestFit="1" customWidth="1"/>
    <col min="288" max="288" width="22.33203125" bestFit="1" customWidth="1"/>
    <col min="289" max="289" width="21.77734375" bestFit="1" customWidth="1"/>
    <col min="290" max="290" width="23.6640625" bestFit="1" customWidth="1"/>
    <col min="291" max="291" width="23.33203125" bestFit="1" customWidth="1"/>
    <col min="292" max="292" width="23.77734375" bestFit="1" customWidth="1"/>
    <col min="293" max="294" width="24" bestFit="1" customWidth="1"/>
    <col min="295" max="296" width="25" bestFit="1" customWidth="1"/>
    <col min="297" max="297" width="23" bestFit="1" customWidth="1"/>
    <col min="298" max="298" width="22.6640625" bestFit="1" customWidth="1"/>
    <col min="299" max="299" width="23.5546875" bestFit="1" customWidth="1"/>
    <col min="300" max="301" width="24.6640625" bestFit="1" customWidth="1"/>
    <col min="302" max="303" width="25.21875" bestFit="1" customWidth="1"/>
    <col min="304" max="304" width="24.6640625" bestFit="1" customWidth="1"/>
    <col min="305" max="305" width="23" bestFit="1" customWidth="1"/>
    <col min="306" max="308" width="24.5546875" bestFit="1" customWidth="1"/>
    <col min="309" max="310" width="25.109375" bestFit="1" customWidth="1"/>
    <col min="311" max="311" width="22.88671875" bestFit="1" customWidth="1"/>
    <col min="312" max="312" width="22.5546875" bestFit="1" customWidth="1"/>
    <col min="313" max="313" width="22.109375" bestFit="1" customWidth="1"/>
    <col min="314" max="314" width="21.88671875" bestFit="1" customWidth="1"/>
    <col min="315" max="317" width="23.109375" bestFit="1" customWidth="1"/>
    <col min="318" max="318" width="21.88671875" bestFit="1" customWidth="1"/>
    <col min="319" max="319" width="21.44140625" bestFit="1" customWidth="1"/>
    <col min="320" max="320" width="22.33203125" bestFit="1" customWidth="1"/>
    <col min="321" max="321" width="22" bestFit="1" customWidth="1"/>
    <col min="322" max="322" width="22.88671875" bestFit="1" customWidth="1"/>
    <col min="323" max="323" width="25.5546875" bestFit="1" customWidth="1"/>
    <col min="324" max="326" width="25.21875" bestFit="1" customWidth="1"/>
    <col min="327" max="327" width="22.21875" bestFit="1" customWidth="1"/>
    <col min="328" max="329" width="21.77734375" bestFit="1" customWidth="1"/>
    <col min="330" max="330" width="22.109375" bestFit="1" customWidth="1"/>
    <col min="331" max="331" width="20.88671875" bestFit="1" customWidth="1"/>
    <col min="332" max="332" width="22.5546875" bestFit="1" customWidth="1"/>
    <col min="333" max="333" width="21.6640625" bestFit="1" customWidth="1"/>
    <col min="334" max="335" width="21.77734375" bestFit="1" customWidth="1"/>
    <col min="336" max="336" width="21.44140625" bestFit="1" customWidth="1"/>
    <col min="337" max="337" width="21.77734375" bestFit="1" customWidth="1"/>
    <col min="338" max="339" width="23.88671875" bestFit="1" customWidth="1"/>
    <col min="340" max="340" width="21.21875" bestFit="1" customWidth="1"/>
    <col min="341" max="341" width="22.109375" bestFit="1" customWidth="1"/>
    <col min="342" max="342" width="21.5546875" bestFit="1" customWidth="1"/>
    <col min="343" max="343" width="20.77734375" bestFit="1" customWidth="1"/>
    <col min="344" max="344" width="21.88671875" bestFit="1" customWidth="1"/>
    <col min="345" max="345" width="22.33203125" bestFit="1" customWidth="1"/>
    <col min="346" max="347" width="22.21875" bestFit="1" customWidth="1"/>
    <col min="348" max="348" width="21.6640625" bestFit="1" customWidth="1"/>
    <col min="349" max="349" width="22.109375" bestFit="1" customWidth="1"/>
    <col min="350" max="351" width="22" bestFit="1" customWidth="1"/>
    <col min="352" max="352" width="23.21875" bestFit="1" customWidth="1"/>
    <col min="353" max="353" width="22.44140625" bestFit="1" customWidth="1"/>
    <col min="354" max="355" width="22.33203125" bestFit="1" customWidth="1"/>
    <col min="356" max="357" width="23.21875" bestFit="1" customWidth="1"/>
    <col min="358" max="358" width="22.88671875" bestFit="1" customWidth="1"/>
    <col min="359" max="359" width="20.5546875" bestFit="1" customWidth="1"/>
    <col min="360" max="360" width="20.21875" bestFit="1" customWidth="1"/>
    <col min="361" max="361" width="21.44140625" bestFit="1" customWidth="1"/>
    <col min="362" max="362" width="21.5546875" bestFit="1" customWidth="1"/>
    <col min="363" max="364" width="21.6640625" bestFit="1" customWidth="1"/>
    <col min="365" max="365" width="20.88671875" bestFit="1" customWidth="1"/>
    <col min="366" max="366" width="23" bestFit="1" customWidth="1"/>
    <col min="367" max="367" width="22.44140625" bestFit="1" customWidth="1"/>
    <col min="368" max="368" width="22.109375" bestFit="1" customWidth="1"/>
    <col min="369" max="370" width="23.33203125" bestFit="1" customWidth="1"/>
    <col min="371" max="371" width="22.77734375" bestFit="1" customWidth="1"/>
    <col min="372" max="372" width="22.88671875" bestFit="1" customWidth="1"/>
    <col min="373" max="374" width="23.44140625" bestFit="1" customWidth="1"/>
    <col min="375" max="378" width="23.109375" bestFit="1" customWidth="1"/>
    <col min="379" max="379" width="22.44140625" bestFit="1" customWidth="1"/>
    <col min="380" max="380" width="25.33203125" bestFit="1" customWidth="1"/>
    <col min="381" max="381" width="25.109375" bestFit="1" customWidth="1"/>
    <col min="382" max="382" width="22.88671875" bestFit="1" customWidth="1"/>
    <col min="383" max="383" width="22.77734375" bestFit="1" customWidth="1"/>
    <col min="384" max="384" width="21.77734375" bestFit="1" customWidth="1"/>
    <col min="385" max="385" width="22.77734375" bestFit="1" customWidth="1"/>
    <col min="386" max="386" width="24.33203125" bestFit="1" customWidth="1"/>
    <col min="387" max="388" width="23.33203125" bestFit="1" customWidth="1"/>
    <col min="389" max="389" width="21.44140625" bestFit="1" customWidth="1"/>
    <col min="390" max="390" width="22.21875" bestFit="1" customWidth="1"/>
    <col min="391" max="391" width="21.5546875" bestFit="1" customWidth="1"/>
    <col min="392" max="392" width="20.77734375" bestFit="1" customWidth="1"/>
    <col min="393" max="393" width="21.21875" bestFit="1" customWidth="1"/>
    <col min="394" max="394" width="21.77734375" bestFit="1" customWidth="1"/>
    <col min="395" max="396" width="20.6640625" bestFit="1" customWidth="1"/>
    <col min="397" max="397" width="21.21875" bestFit="1" customWidth="1"/>
    <col min="398" max="399" width="22.21875" bestFit="1" customWidth="1"/>
    <col min="400" max="400" width="22.6640625" bestFit="1" customWidth="1"/>
    <col min="401" max="402" width="21.77734375" bestFit="1" customWidth="1"/>
    <col min="403" max="404" width="23.109375" bestFit="1" customWidth="1"/>
    <col min="405" max="405" width="24.44140625" bestFit="1" customWidth="1"/>
    <col min="406" max="406" width="23.21875" bestFit="1" customWidth="1"/>
    <col min="407" max="407" width="22.88671875" bestFit="1" customWidth="1"/>
    <col min="408" max="408" width="21.77734375" bestFit="1" customWidth="1"/>
    <col min="409" max="409" width="22.44140625" bestFit="1" customWidth="1"/>
    <col min="410" max="410" width="22.33203125" bestFit="1" customWidth="1"/>
    <col min="411" max="411" width="22.77734375" bestFit="1" customWidth="1"/>
    <col min="412" max="412" width="22.6640625" bestFit="1" customWidth="1"/>
    <col min="413" max="413" width="22.44140625" bestFit="1" customWidth="1"/>
    <col min="414" max="415" width="22.21875" bestFit="1" customWidth="1"/>
    <col min="416" max="417" width="21.88671875" bestFit="1" customWidth="1"/>
    <col min="418" max="418" width="20.88671875" bestFit="1" customWidth="1"/>
    <col min="419" max="419" width="22.44140625" bestFit="1" customWidth="1"/>
    <col min="420" max="420" width="22.33203125" bestFit="1" customWidth="1"/>
    <col min="421" max="423" width="22" bestFit="1" customWidth="1"/>
    <col min="424" max="425" width="21.21875" bestFit="1" customWidth="1"/>
    <col min="426" max="426" width="21.88671875" bestFit="1" customWidth="1"/>
    <col min="427" max="430" width="20.6640625" bestFit="1" customWidth="1"/>
    <col min="431" max="433" width="21.5546875" bestFit="1" customWidth="1"/>
    <col min="434" max="434" width="23.88671875" bestFit="1" customWidth="1"/>
    <col min="435" max="435" width="24.109375" bestFit="1" customWidth="1"/>
    <col min="436" max="436" width="22.5546875" bestFit="1" customWidth="1"/>
    <col min="437" max="438" width="21.77734375" bestFit="1" customWidth="1"/>
    <col min="439" max="439" width="22.44140625" bestFit="1" customWidth="1"/>
    <col min="440" max="440" width="22.109375" bestFit="1" customWidth="1"/>
    <col min="441" max="441" width="22" bestFit="1" customWidth="1"/>
    <col min="442" max="442" width="22.21875" bestFit="1" customWidth="1"/>
    <col min="443" max="443" width="22.5546875" bestFit="1" customWidth="1"/>
    <col min="444" max="444" width="23.88671875" bestFit="1" customWidth="1"/>
    <col min="445" max="445" width="22.6640625" bestFit="1" customWidth="1"/>
    <col min="446" max="446" width="23.109375" bestFit="1" customWidth="1"/>
    <col min="447" max="447" width="22.5546875" bestFit="1" customWidth="1"/>
    <col min="448" max="448" width="22.33203125" bestFit="1" customWidth="1"/>
    <col min="449" max="449" width="23.44140625" bestFit="1" customWidth="1"/>
    <col min="450" max="450" width="22.5546875" bestFit="1" customWidth="1"/>
    <col min="451" max="451" width="22.88671875" bestFit="1" customWidth="1"/>
    <col min="452" max="452" width="23.109375" bestFit="1" customWidth="1"/>
    <col min="453" max="453" width="22.5546875" bestFit="1" customWidth="1"/>
    <col min="454" max="454" width="22.88671875" bestFit="1" customWidth="1"/>
    <col min="455" max="455" width="21.6640625" bestFit="1" customWidth="1"/>
    <col min="456" max="457" width="20.44140625" bestFit="1" customWidth="1"/>
    <col min="458" max="458" width="20.5546875" bestFit="1" customWidth="1"/>
    <col min="459" max="459" width="22.109375" bestFit="1" customWidth="1"/>
    <col min="460" max="460" width="22.44140625" bestFit="1" customWidth="1"/>
    <col min="461" max="461" width="21.109375" bestFit="1" customWidth="1"/>
    <col min="462" max="462" width="21.44140625" bestFit="1" customWidth="1"/>
    <col min="463" max="464" width="20.88671875" bestFit="1" customWidth="1"/>
    <col min="465" max="465" width="22.88671875" bestFit="1" customWidth="1"/>
    <col min="466" max="466" width="22.109375" bestFit="1" customWidth="1"/>
    <col min="467" max="467" width="21.44140625" bestFit="1" customWidth="1"/>
    <col min="468" max="468" width="20.88671875" bestFit="1" customWidth="1"/>
    <col min="469" max="469" width="21.5546875" bestFit="1" customWidth="1"/>
    <col min="470" max="471" width="23.109375" bestFit="1" customWidth="1"/>
    <col min="472" max="472" width="23" bestFit="1" customWidth="1"/>
    <col min="473" max="473" width="23.109375" bestFit="1" customWidth="1"/>
    <col min="474" max="474" width="22.77734375" bestFit="1" customWidth="1"/>
    <col min="475" max="476" width="23.5546875" bestFit="1" customWidth="1"/>
    <col min="477" max="477" width="23.6640625" bestFit="1" customWidth="1"/>
    <col min="478" max="478" width="21.77734375" bestFit="1" customWidth="1"/>
    <col min="479" max="479" width="22.33203125" bestFit="1" customWidth="1"/>
    <col min="480" max="481" width="25.77734375" bestFit="1" customWidth="1"/>
    <col min="482" max="483" width="22.6640625" bestFit="1" customWidth="1"/>
    <col min="484" max="484" width="24" bestFit="1" customWidth="1"/>
    <col min="485" max="485" width="22.88671875" bestFit="1" customWidth="1"/>
    <col min="486" max="486" width="21.77734375" bestFit="1" customWidth="1"/>
    <col min="487" max="487" width="21.88671875" bestFit="1" customWidth="1"/>
    <col min="488" max="488" width="24.109375" bestFit="1" customWidth="1"/>
    <col min="489" max="489" width="23.33203125" bestFit="1" customWidth="1"/>
    <col min="490" max="490" width="23.77734375" bestFit="1" customWidth="1"/>
    <col min="491" max="491" width="21.6640625" bestFit="1" customWidth="1"/>
    <col min="492" max="492" width="22.88671875" bestFit="1" customWidth="1"/>
    <col min="493" max="493" width="22.77734375" bestFit="1" customWidth="1"/>
    <col min="494" max="495" width="20.77734375" bestFit="1" customWidth="1"/>
    <col min="496" max="496" width="25.109375" bestFit="1" customWidth="1"/>
    <col min="497" max="497" width="22.44140625" bestFit="1" customWidth="1"/>
    <col min="498" max="499" width="23.88671875" bestFit="1" customWidth="1"/>
    <col min="500" max="500" width="21.77734375" bestFit="1" customWidth="1"/>
    <col min="501" max="501" width="21.88671875" bestFit="1" customWidth="1"/>
    <col min="502" max="502" width="21.77734375" bestFit="1" customWidth="1"/>
    <col min="503" max="504" width="22" bestFit="1" customWidth="1"/>
    <col min="505" max="506" width="24.109375" bestFit="1" customWidth="1"/>
    <col min="507" max="507" width="22.88671875" bestFit="1" customWidth="1"/>
    <col min="508" max="508" width="22.6640625" bestFit="1" customWidth="1"/>
    <col min="509" max="510" width="25.109375" bestFit="1" customWidth="1"/>
    <col min="511" max="511" width="21.44140625" bestFit="1" customWidth="1"/>
    <col min="512" max="512" width="20.88671875" bestFit="1" customWidth="1"/>
    <col min="513" max="514" width="24.6640625" bestFit="1" customWidth="1"/>
    <col min="515" max="515" width="24.77734375" bestFit="1" customWidth="1"/>
    <col min="516" max="516" width="23.6640625" bestFit="1" customWidth="1"/>
    <col min="517" max="517" width="22.33203125" bestFit="1" customWidth="1"/>
    <col min="518" max="518" width="23.44140625" bestFit="1" customWidth="1"/>
    <col min="519" max="519" width="23.77734375" bestFit="1" customWidth="1"/>
    <col min="520" max="520" width="21" bestFit="1" customWidth="1"/>
    <col min="521" max="521" width="21.77734375" bestFit="1" customWidth="1"/>
    <col min="522" max="524" width="19.88671875" bestFit="1" customWidth="1"/>
    <col min="525" max="525" width="20.6640625" bestFit="1" customWidth="1"/>
    <col min="526" max="526" width="21.21875" bestFit="1" customWidth="1"/>
    <col min="527" max="527" width="22" bestFit="1" customWidth="1"/>
    <col min="528" max="529" width="22.44140625" bestFit="1" customWidth="1"/>
    <col min="530" max="530" width="21.77734375" bestFit="1" customWidth="1"/>
    <col min="531" max="531" width="22.5546875" bestFit="1" customWidth="1"/>
    <col min="532" max="532" width="23.21875" bestFit="1" customWidth="1"/>
    <col min="533" max="533" width="22" bestFit="1" customWidth="1"/>
    <col min="534" max="534" width="22.88671875" bestFit="1" customWidth="1"/>
    <col min="535" max="535" width="21.109375" bestFit="1" customWidth="1"/>
    <col min="536" max="536" width="20.44140625" bestFit="1" customWidth="1"/>
    <col min="537" max="537" width="21.88671875" bestFit="1" customWidth="1"/>
    <col min="538" max="539" width="21.109375" bestFit="1" customWidth="1"/>
    <col min="540" max="540" width="23.77734375" bestFit="1" customWidth="1"/>
    <col min="541" max="542" width="21.88671875" bestFit="1" customWidth="1"/>
    <col min="543" max="544" width="25" bestFit="1" customWidth="1"/>
    <col min="545" max="546" width="25.109375" bestFit="1" customWidth="1"/>
    <col min="547" max="547" width="22.109375" bestFit="1" customWidth="1"/>
    <col min="548" max="548" width="21.88671875" bestFit="1" customWidth="1"/>
    <col min="549" max="549" width="24.5546875" bestFit="1" customWidth="1"/>
    <col min="550" max="550" width="22.77734375" bestFit="1" customWidth="1"/>
    <col min="551" max="551" width="23.33203125" bestFit="1" customWidth="1"/>
    <col min="552" max="1020" width="8.44140625" customWidth="1"/>
  </cols>
  <sheetData>
    <row r="1" spans="1:587" x14ac:dyDescent="0.3">
      <c r="A1" s="2" t="s">
        <v>31</v>
      </c>
      <c r="B1" s="6" t="str" cm="1">
        <f t="array" ref="B1:VO1">TRANSPOSE(_xlfn._xlws.FILTER(branch!$A$2:$A$591,branch!$D$2:$D$591&lt;&gt;0))</f>
        <v>AA(I)(Z)&gt;DRU(I)(Z)_110L1</v>
      </c>
      <c r="C1" s="6" t="str">
        <v>AA(I)(Z)&gt;ENN(I)(Z)_110L1</v>
      </c>
      <c r="D1" s="6" t="str">
        <v>AA(I)(Z)&gt;LIM(I)(Z)_110L1</v>
      </c>
      <c r="E1" s="6" t="str">
        <v>AA1(I)(Z)&gt;SNG(I)(Z)_110L1</v>
      </c>
      <c r="F1" s="6" t="str">
        <v>AD(I)(Z)&gt;GGO(I)(Z)_220L1</v>
      </c>
      <c r="G1" s="6" t="str">
        <v>AD(I)(Z)&gt;KRA(I)(Z)_220L1</v>
      </c>
      <c r="H1" s="6" t="str">
        <v>AD(I)(Z)&gt;KRA(I)(Z)_220L2</v>
      </c>
      <c r="I1" s="6" t="str">
        <v>AD(I)(Z)&gt;LPT(I)(Z)_220L1</v>
      </c>
      <c r="J1" s="6" t="str">
        <v>AD(I)(Z)&gt;RAF(I)(Z)_220L1</v>
      </c>
      <c r="K1" s="6" t="str">
        <v>AD(I)(Z)&gt;WHI(I)(Z)_110L1</v>
      </c>
      <c r="L1" s="6" t="str">
        <v>ADM(I)(Z)&gt;GCA(I)(Z)_110L1</v>
      </c>
      <c r="M1" s="6" t="str">
        <v>ADM(I)(Z)&gt;INC(I)(Z)_110L1</v>
      </c>
      <c r="N1" s="6" t="str">
        <v>AGH(N)(Z)&gt;ENN(N)(Z)_110L1</v>
      </c>
      <c r="O1" s="6" t="str">
        <v>AGL(I)(Z)&gt;DYN(I)(Z)_110L1</v>
      </c>
      <c r="P1" s="6" t="str">
        <v>AGL(I)(Z)&gt;ENN(I)(Z)_110L1</v>
      </c>
      <c r="Q1" s="6" t="str">
        <v>AGN(I)(Z)&gt;CBT(I)(Z)_110L1</v>
      </c>
      <c r="R1" s="6" t="str">
        <v>AGN(I)(Z)&gt;CBT(I)(Z)_110L2</v>
      </c>
      <c r="S1" s="6" t="str">
        <v>AGN(I)(Z)&gt;KSE(I)(Z)_110L1</v>
      </c>
      <c r="T1" s="6" t="str">
        <v>AGL(I)(Z)&gt;SH(I)(Z)_110L1</v>
      </c>
      <c r="U1" s="6" t="str">
        <v>AHA(I)(Z)&gt;KLN(I)(Z)_110L1</v>
      </c>
      <c r="V1" s="6" t="str">
        <v>ANR(I)(Z)&gt;DOO(I)(Z)_110L1</v>
      </c>
      <c r="W1" s="6" t="str">
        <v>ANT(N)(Z)&gt;KEL(N)(Z)_110L1</v>
      </c>
      <c r="X1" s="6" t="str">
        <v>ANT(N)(Z)&gt;KEL(N)(Z)_110L2</v>
      </c>
      <c r="Y1" s="6" t="str">
        <v>ARD(I)(Z)&gt;TIV(I)(Z)_110L1</v>
      </c>
      <c r="Z1" s="6" t="str">
        <v>ARI(I)(Z)&gt;ARI(I)(T)_110L1</v>
      </c>
      <c r="AA1" s="6" t="str">
        <v>ARK(I)(Z)&gt;BEG(I)(Z)_110L1</v>
      </c>
      <c r="AB1" s="6" t="str">
        <v>ARK(I)(Z)&gt;BOG(I)(Z)_110L1</v>
      </c>
      <c r="AC1" s="6" t="str">
        <v>ARK(I)(Z)&gt;CKM(I)(Z)_220L1</v>
      </c>
      <c r="AD1" s="6" t="str">
        <v>ARK(I)(Z)&gt;LOD(I)(Z)_220L1</v>
      </c>
      <c r="AE1" s="6" t="str">
        <v>ARK(I)(Z)&gt;SHE(I)(Z)_110L1</v>
      </c>
      <c r="AF1" s="6" t="str">
        <v>ART(I)(Z)&gt;FIN(I)(Z)_110L1</v>
      </c>
      <c r="AG1" s="6" t="str">
        <v>ART(I)(Z)&gt;MCD(I)(Z)_110L1</v>
      </c>
      <c r="AH1" s="6" t="str">
        <v>ARV(I)(Z)&gt;COS(I)(Z)_110L1</v>
      </c>
      <c r="AI1" s="6" t="str">
        <v>ARV(I)(Z)&gt;GWE(I)(Z)_110L1</v>
      </c>
      <c r="AJ1" s="6" t="str">
        <v>ARV(I)(Z)&gt;NAV(I)(Z)_110L1</v>
      </c>
      <c r="AK1" s="6" t="str">
        <v>ARV(I)(Z)&gt;SKL(I)(Z)_110L1</v>
      </c>
      <c r="AL1" s="6" t="str">
        <v>ARV(I)(Z)&gt;SKL(I)(Z)_110L2</v>
      </c>
      <c r="AM1" s="6" t="str">
        <v>ATE(I)(Z)&gt;DRO(I)(Z)_110L1</v>
      </c>
      <c r="AN1" s="6" t="str">
        <v>ATE(I)(Z)&gt;KNR(I)(Z)_110L1</v>
      </c>
      <c r="AO1" s="6" t="str">
        <v>ATH(I)(Z)&gt;LA(I)(Z)_110L1</v>
      </c>
      <c r="AP1" s="6" t="str">
        <v>ATH(I)(Z)&gt;SH(I)(Z)_110L1</v>
      </c>
      <c r="AQ1" s="6" t="str">
        <v>ATN(I)(Z)&gt;INC(I)(Z)_110L1</v>
      </c>
      <c r="AR1" s="6" t="str">
        <v>ATN(I)(Z)&gt;INC(I)(Z)_110L2</v>
      </c>
      <c r="AS1" s="6" t="str">
        <v>ATY(I)(Z)&gt;CLW(I)(Z)_110L1</v>
      </c>
      <c r="AT1" s="6" t="str">
        <v>ATY(I)(Z)&gt;CNB(I)(Z)_110L1</v>
      </c>
      <c r="AU1" s="6" t="str">
        <v>ATY(I)(Z)&gt;PLS(I)(Z)_110L1</v>
      </c>
      <c r="AV1" s="6" t="str">
        <v>AUG(I)(Z)&gt;CFM(I)(Z)_110L1</v>
      </c>
      <c r="AW1" s="6" t="str">
        <v>AUG(I)(Z)&gt;CFM(I)(Z)_110L2</v>
      </c>
      <c r="AX1" s="6" t="str">
        <v>AUG(I)(Z)&gt;KPG(I)(Z)_110L1</v>
      </c>
      <c r="AY1" s="6" t="str">
        <v>AUG(I)(Z)&gt;MTN(I)(Z)_110L1</v>
      </c>
      <c r="AZ1" s="6" t="str">
        <v>AUG(I)(Z)&gt;SK(I)(Z)_110L1</v>
      </c>
      <c r="BA1" s="6" t="str">
        <v>AUG(I)(Z)&gt;SK(I)(Z)_110L2</v>
      </c>
      <c r="BB1" s="6" t="str">
        <v>BAL(I)(Z)&gt;CDU(I)(Z)_110L1</v>
      </c>
      <c r="BC1" s="6" t="str">
        <v>BAL(I)(Z)&gt;DRY(I)(Z)_110L1</v>
      </c>
      <c r="BD1" s="6" t="str">
        <v>BAL(I)(Z)&gt;DEE(I)(Z)_110L1</v>
      </c>
      <c r="BE1" s="6" t="str">
        <v>BAN(I)(Z)&gt;BRI(I)(Z)_110L1</v>
      </c>
      <c r="BF1" s="6" t="str">
        <v>BAN(I)(Z)&gt;BRI(I)(Z)_110L2</v>
      </c>
      <c r="BG1" s="6" t="str">
        <v>BAN(I)(Z)&gt;DMY(I)(Z)_110L1</v>
      </c>
      <c r="BH1" s="6" t="str">
        <v>BAN(I)(Z)&gt;RAF(I)(Z)_110L1</v>
      </c>
      <c r="BI1" s="6" t="str">
        <v>BAN(N)(Z)&gt;TAN(N)(Z)_110L1</v>
      </c>
      <c r="BJ1" s="6" t="str">
        <v>BAN(N)(Z)&gt;TAN(N)(Z)_110L2</v>
      </c>
      <c r="BK1" s="6" t="str">
        <v>BAR(I)(Z)&gt;BAR(I)(T)_110L1</v>
      </c>
      <c r="BL1" s="6" t="str">
        <v>BCT(I)(Z)&gt;CKM(I)(Z)_110L1</v>
      </c>
      <c r="BM1" s="6" t="str">
        <v>BCT(I)(Z)&gt;COO(I)(Z)_110L1</v>
      </c>
      <c r="BN1" s="6" t="str">
        <v>BDA(I)(Z)&gt;MON(I)(Z)_110L1</v>
      </c>
      <c r="BO1" s="6" t="str">
        <v>BDA(I)(Z)&gt;NEW(I)(Z)_110L1</v>
      </c>
      <c r="BP1" s="13" t="str">
        <v>BDN(I)(Z)&gt;CUL(I)(Z)_110L1</v>
      </c>
      <c r="BQ1" s="6" t="str">
        <v>BDN(I)(Z)&gt;DOO(I)(Z)_110L1</v>
      </c>
      <c r="BR1" s="6" t="str">
        <v>BEG(I)(Z)&gt;CKM(I)(Z)_110L1</v>
      </c>
      <c r="BS1" s="6" t="str">
        <v>BGH(I)(Z)&gt;CLA(I)(Z)_110L1</v>
      </c>
      <c r="BT1" s="6" t="str">
        <v>BGN(I)(Z)&gt;MLC(I)(Z)_110L1</v>
      </c>
      <c r="BU1" s="6" t="str">
        <v>BGT(I)(Z)&gt;CNB(I)(Z)_110L1</v>
      </c>
      <c r="BV1" s="6" t="str">
        <v>BGT(I)(Z)&gt;GGT(I)(Z)_110L1</v>
      </c>
      <c r="BW1" s="6" t="str">
        <v>BGT(I)(Z)&gt;KKY(I)(Z)_110L1</v>
      </c>
      <c r="BX1" s="6" t="str">
        <v>BIN(I)(Z)&gt;CF(I)(Z)_110L1</v>
      </c>
      <c r="BY1" s="6" t="str">
        <v>BIN(I)(Z)&gt;TIV(I)(Z)_110L1</v>
      </c>
      <c r="BZ1" s="6" t="str">
        <v>BK(I)(Z)&gt;CBR(I)(Z)_110L1</v>
      </c>
      <c r="CA1" s="6" t="str">
        <v>BK(I)(Z)&gt;CGW(I)(Z)_110L1</v>
      </c>
      <c r="CB1" s="6" t="str">
        <v>BK(I)(Z)&gt;MOY(I)(Z)_110L1</v>
      </c>
      <c r="CC1" s="6" t="str">
        <v>BK(I)(Z)&gt;SKY(I)(Z)_110L1</v>
      </c>
      <c r="CD1" s="6" t="str">
        <v>BK(I)(Z)&gt;SKY(I)(Z)_110L2</v>
      </c>
      <c r="CE1" s="6" t="str">
        <v>BKT(I)(Z)&gt;CUR(I)(Z)_110L1</v>
      </c>
      <c r="CF1" s="6" t="str">
        <v>BKY(I)(Z)&gt;CBT(I)(Z)_110L1</v>
      </c>
      <c r="CG1" s="6" t="str">
        <v>BKY(I)(Z)&gt;CBT(I)(Z)_110L2</v>
      </c>
      <c r="CH1" s="6" t="str">
        <v>BKY(I)(Z)&gt;KCY(I)(Z)_110</v>
      </c>
      <c r="CI1" s="6" t="str">
        <v>BLA(I)(Z)&gt;POT(I)(Z)_110L1</v>
      </c>
      <c r="CJ1" s="6" t="str">
        <v>BLA(I)(Z)&gt;RE(I)(Z)_110L1</v>
      </c>
      <c r="CK1" s="6" t="str">
        <v>BLC(I)(Z)&gt;FIN(I)(Z)_220L1</v>
      </c>
      <c r="CL1" s="6" t="str">
        <v>BLC(I)(Z)&gt;SHL(I)(Z)_220L1</v>
      </c>
      <c r="CM1" s="13" t="str">
        <v>BLC(I)(Z)&gt;GRA(I)(Z)_110L1</v>
      </c>
      <c r="CN1" s="13" t="str">
        <v>BLC(I)(Z)&gt;KLM(I)(Z)_110L1</v>
      </c>
      <c r="CO1" s="6" t="str">
        <v>BLC(I)(Z)&gt;MNH(I)(Z)_110L1</v>
      </c>
      <c r="CP1" s="6" t="str">
        <v>BLI(I)(Z)&gt;DMY(I)(Z)_110L1</v>
      </c>
      <c r="CQ1" s="6" t="str">
        <v>BMA(N)(Z)&gt;KEL(N)(Z)_110L1</v>
      </c>
      <c r="CR1" s="6" t="str">
        <v>BMA(N)(Z)&gt;KEL(N)(Z)_110L2</v>
      </c>
      <c r="CS1" s="6" t="str">
        <v>BNH(N)(Z)&gt;CAS(N)(Z)_110L1</v>
      </c>
      <c r="CT1" s="6" t="str">
        <v>BNH(N)(Z)&gt;CAS(N)(Z)_110L2</v>
      </c>
      <c r="CU1" s="6" t="str">
        <v>BNM(N)(Z)&gt;DON(N)(Z)_110L1</v>
      </c>
      <c r="CV1" s="6" t="str">
        <v>BNM(N)(Z)&gt;DON(N)(Z)_110L2</v>
      </c>
      <c r="CW1" s="6" t="str">
        <v>BOG(I)(Z)&gt;TTU(I)(Z)_110L1</v>
      </c>
      <c r="CX1" s="6" t="str">
        <v>TTU(I)(Z)&gt;CRA(I)(Z)_110L1</v>
      </c>
      <c r="CY1" s="6" t="str">
        <v>BOL(I)(Z)&gt;ENN(I)(Z)_110L1</v>
      </c>
      <c r="CZ1" s="6" t="str">
        <v>BOL(I)(Z)&gt;TBK(I)(T)_110L1</v>
      </c>
      <c r="DA1" s="6" t="str">
        <v>BPS(N)(Z)&gt;BVG(N)(Z)_110L1</v>
      </c>
      <c r="DB1" s="6" t="str">
        <v>BPS(N)(Z)&gt;BVG(N)(Z)_110L2</v>
      </c>
      <c r="DC1" s="6" t="str">
        <v>BPS(N)(Z)&gt;BYC(N)(Z)_275L1</v>
      </c>
      <c r="DD1" s="6" t="str">
        <v>BPS(N)(Z)&gt;EDE(N)(Z)_110L1</v>
      </c>
      <c r="DE1" s="6" t="str">
        <v>BPS(N)(Z)&gt;EDE(N)(Z)_110L2</v>
      </c>
      <c r="DF1" s="6" t="str">
        <v>BPS(N)(Z)&gt;HAN(N)(Z)_275L1</v>
      </c>
      <c r="DG1" s="6" t="str">
        <v>BPS(N)(Z)&gt;KEL(N)(Z)_275L1</v>
      </c>
      <c r="DH1" s="6" t="str">
        <v>BPS(N)(Z)&gt;MAG(N)(Z)_275L1</v>
      </c>
      <c r="DI1" s="6" t="str">
        <v>BRO(N)(Z)&gt;RSK(N)(Z)_110L1</v>
      </c>
      <c r="DJ1" s="6" t="str">
        <v>BRY(I)(Z)&gt;RAF(I)(Z)_110L1</v>
      </c>
      <c r="DK1" s="6" t="str">
        <v>BRY(I)(Z)&gt;RAF(I)(Z)_110L2</v>
      </c>
      <c r="DL1" s="6" t="str">
        <v>BTN(I)(Z)&gt;CLE(I)(Z)_220L1</v>
      </c>
      <c r="DM1" s="6" t="str">
        <v>BTN(I)(Z)&gt;CLE(I)(Z)_220L2</v>
      </c>
      <c r="DN1" s="6" t="str">
        <v>BUT(I)(Z)&gt;CUL(I)(Z)_110L1</v>
      </c>
      <c r="DO1" s="6" t="str">
        <v>BUT(I)(Z)&gt;KTN(I)(Z)_110L1</v>
      </c>
      <c r="DP1" s="6" t="str">
        <v>BVG(N)(Z)&gt;KEL(N)(Z)_110L1</v>
      </c>
      <c r="DQ1" s="6" t="str">
        <v>BVG(N)(Z)&gt;KEL(N)(Z)_110L2</v>
      </c>
      <c r="DR1" s="6" t="str">
        <v>BVG(N)(Z)&gt;LAR(N)(Z)_110L1</v>
      </c>
      <c r="DS1" s="6" t="str">
        <v>BVG(N)(Z)&gt;LAR(N)(Z)_110L2</v>
      </c>
      <c r="DT1" s="6" t="str">
        <v>BVK(I)(Z)&gt;BYH(I)(Z)_220L1</v>
      </c>
      <c r="DU1" s="6" t="str">
        <v>BVK(I)(Z)&gt;CLA(I)(Z)_220L1</v>
      </c>
      <c r="DV1" s="6" t="str">
        <v>BVK(I)(Z)&gt;CTG(I)(Z)_110L1</v>
      </c>
      <c r="DW1" s="6" t="str">
        <v>BWR(I)(Z)&gt;CRA(I)(Z)_110L1</v>
      </c>
      <c r="DX1" s="6" t="str">
        <v>BYH(I)(Z)&gt;CDL(I)(Z)_110L1</v>
      </c>
      <c r="DY1" s="6" t="str">
        <v>BYH(I)(Z)&gt;GLE(I)(Z)_110L1</v>
      </c>
      <c r="DZ1" s="6" t="str">
        <v>CAB(I)(Z)&gt;PTN(I)(Z)_110L1</v>
      </c>
      <c r="EA1" s="6" t="str">
        <v>CAB(I)(Z)&gt;WOL(I)(Z)_110L1</v>
      </c>
      <c r="EB1" s="6" t="str">
        <v>CAH(I)(Z)&gt;BAR(I)(T)_110L1</v>
      </c>
      <c r="EC1" s="6" t="str">
        <v>CAH(I)(Z)&gt;DOO(I)(Z)_110L1</v>
      </c>
      <c r="ED1" s="6" t="str">
        <v>CAH(I)(Z)&gt;KHL(I)(Z)_110L1</v>
      </c>
      <c r="EE1" s="6" t="str">
        <v>CAH(I)(Z)&gt;TIP(I)(Z)_110L1</v>
      </c>
      <c r="EF1" s="6" t="str">
        <v>CAR(N)(Z)&gt;CAS(N)(Z)_110L1</v>
      </c>
      <c r="EG1" s="6" t="str">
        <v>CAR(N)(Z)&gt;CAS(N)(Z)_110L2</v>
      </c>
      <c r="EH1" s="6" t="str">
        <v>CAR(N)(Z)&gt;EDE(N)(Z)_110L1</v>
      </c>
      <c r="EI1" s="6" t="str">
        <v>CAR(N)(Z)&gt;EDE(N)(Z)_110L2</v>
      </c>
      <c r="EJ1" s="6" t="str">
        <v>CAS(N)(Z)&gt;CRE(N)(Z)_110L1</v>
      </c>
      <c r="EK1" s="6" t="str">
        <v>CAS(N)(Z)&gt;CRE(N)(Z)_110L2</v>
      </c>
      <c r="EL1" s="6" t="str">
        <v>CAS(N)(Z)&gt;HAN(N)(Z)_275L1</v>
      </c>
      <c r="EM1" s="6" t="str">
        <v>CAS(N)(Z)&gt;HAN(N)(Z)_275L2</v>
      </c>
      <c r="EN1" s="13" t="str">
        <v>CAS(N)(Z)&gt;KNO(N)(Z)_110L1</v>
      </c>
      <c r="EO1" s="6" t="str">
        <v>CAS(N)(Z)&gt;KNO(N)(Z)_110L2</v>
      </c>
      <c r="EP1" s="6" t="str">
        <v>CAS(N)(Z)&gt;KPS(N)(Z)_275L1</v>
      </c>
      <c r="EQ1" s="6" t="str">
        <v>CAS(N)(Z)&gt;NAR(N)(Z)_110L1</v>
      </c>
      <c r="ER1" s="6" t="str">
        <v>CAS(N)(Z)&gt;NAR(N)(Z)_110L2</v>
      </c>
      <c r="ES1" s="6" t="str">
        <v>CAS(N)(Z)&gt;RAT(N)(Z)_110L1</v>
      </c>
      <c r="ET1" s="6" t="str">
        <v>CAS(N)(Z)&gt;RAT(N)(Z)_110L2</v>
      </c>
      <c r="EU1" s="6" t="str">
        <v>CAS(N)(Z)&gt;ROS(N)(Z)_110L1</v>
      </c>
      <c r="EV1" s="6" t="str">
        <v>CAS(N)(Z)&gt;ROS(N)(Z)_110L2</v>
      </c>
      <c r="EW1" s="6" t="str">
        <v>CAS(N)(Z)&gt;TAN(N)(Z)_275L1</v>
      </c>
      <c r="EX1" s="6" t="str">
        <v>CTN(I)(Z)&gt;KLN(I)(Z)_110L1</v>
      </c>
      <c r="EY1" s="6" t="str">
        <v>CBL(I)(Z)&gt;TRI(I)(Z)_110L1</v>
      </c>
      <c r="EZ1" s="6" t="str">
        <v>CBG(I)(Z)&gt;CBR(I)(Z)_110L1</v>
      </c>
      <c r="FA1" s="6" t="str">
        <v>CBR(I)(Z)&gt;CLN(I)(Z)_110L1</v>
      </c>
      <c r="FB1" s="6" t="str">
        <v>CBR(I)(Z)&gt;DLT(I)(Z)_110L1</v>
      </c>
      <c r="FC1" s="13" t="str">
        <v>CBT(I)(Z)&gt;INC(I)(Z)_220L1</v>
      </c>
      <c r="FD1" s="13" t="str">
        <v>CBT(I)(Z)&gt;KCY(I)(Z)_110L1</v>
      </c>
      <c r="FE1" s="6" t="str">
        <v>CBT(I)(Z)&gt;INC(I)(Z)_220L2</v>
      </c>
      <c r="FF1" s="6" t="str">
        <v>CBT(I)(Z)&gt;MAY(I)(Z)_220L1</v>
      </c>
      <c r="FG1" s="6" t="str">
        <v>CBT(I)(Z)&gt;MAY(I)(Z)_220L2</v>
      </c>
      <c r="FH1" s="6" t="str">
        <v>CD(I)(Z)&gt;KBY(I)(Z)_110L1</v>
      </c>
      <c r="FI1" s="6" t="str">
        <v>CD(I)(Z)&gt;MAC(I)(Z)_110L1</v>
      </c>
      <c r="FJ1" s="6" t="str">
        <v>CDK(I)(Z)&gt;LWD(I)(Z)_110L1</v>
      </c>
      <c r="FK1" s="6" t="str">
        <v>CDU(I)(Z)&gt;FIN(I)(Z)_220L1</v>
      </c>
      <c r="FL1" s="6" t="str">
        <v>CDU(I)(Z)&gt;FIN(I)(Z)_220L2</v>
      </c>
      <c r="FM1" s="6" t="str">
        <v>CDU(I)(Z)&gt;HN(I)(Z)_220L1</v>
      </c>
      <c r="FN1" s="6" t="str">
        <v>CDU(I)(Z)&gt;BLU(I)(Z)_110L1</v>
      </c>
      <c r="FO1" s="6" t="str">
        <v>CDU(I)(Z)&gt;GLN(I)(Z)_110L1</v>
      </c>
      <c r="FP1" s="6" t="str">
        <v>BLU(I)(Z)&gt;MUL(I)(Z)_110L1</v>
      </c>
      <c r="FQ1" s="6" t="str">
        <v>CDU(I)(Z)&gt;PLA(I)(Z)_110L1</v>
      </c>
      <c r="FR1" s="6" t="str">
        <v>CDU(I)(Z)&gt;RYB(I)(Z)_110L1</v>
      </c>
      <c r="FS1" s="6" t="str">
        <v>CDU(I)(Z)&gt;SBH(I)(Z)_110L1</v>
      </c>
      <c r="FT1" s="6" t="str">
        <v>CDU(I)(Z)&gt;WOO(I)(Z)_220L1</v>
      </c>
      <c r="FU1" s="6" t="str">
        <v>CDY(I)(Z)&gt;ARI(I)(T)_110L1</v>
      </c>
      <c r="FV1" s="6" t="str">
        <v>CDY(I)(Z)&gt;GRV(I)(Z)_110L1</v>
      </c>
      <c r="FW1" s="6" t="str">
        <v>CDY(I)(Z)&gt;SRA(I)(Z)_110L1</v>
      </c>
      <c r="FX1" s="6" t="str">
        <v>CEN(N)(Z)&gt;CRE(N)(Z)_110L1</v>
      </c>
      <c r="FY1" s="6" t="str">
        <v>CEN(N)(Z)&gt;CRE(N)(Z)_110L2</v>
      </c>
      <c r="FZ1" s="6" t="str">
        <v>CF(I)(Z)&gt;CAD(Y)(Z)_110L1</v>
      </c>
      <c r="GA1" s="6" t="str">
        <v>CF(I)(Z)&gt;CKL(Y)(Z)_110L1</v>
      </c>
      <c r="GB1" s="6" t="str">
        <v>CF(I)(Z)&gt;CL(I)(Z)_110L1</v>
      </c>
      <c r="GC1" s="6" t="str">
        <v>CF(I)(Z)&gt;CLO(I)(Z)_110L1</v>
      </c>
      <c r="GD1" s="6" t="str">
        <v>CF(I)(Z)&gt;CLO(I)(Z)_110L2</v>
      </c>
      <c r="GE1" s="6" t="str">
        <v>CF(I)(Z)&gt;COR(I)(Z)_110L1</v>
      </c>
      <c r="GF1" s="6" t="str">
        <v>CF(I)(Z)&gt;SRA(I)(Z)_110L1</v>
      </c>
      <c r="GG1" s="6" t="str">
        <v>CF(I)(Z)&gt;SRA(I)(Z)_110L2</v>
      </c>
      <c r="GH1" s="6" t="str">
        <v>CFD(I)(Z)&gt;MUL(I)(Z)_110L1</v>
      </c>
      <c r="GI1" s="6" t="str">
        <v>CFD(I)(Z)&gt;KIN(I)(Z)_110L1</v>
      </c>
      <c r="GJ1" s="6" t="str">
        <v>CGL(I)(Z)&gt;GAE(I)(Z)_110L1</v>
      </c>
      <c r="GK1" s="6" t="str">
        <v>CHA(I)(Z)&gt;GLE(I)(Z)_110L1</v>
      </c>
      <c r="GL1" s="6" t="str">
        <v>CHA(I)(Z)&gt;KLN(I)(Z)_110L1</v>
      </c>
      <c r="GM1" s="6" t="str">
        <v>CHA(I)(Z)&gt;MAL(I)(Z)_110L1</v>
      </c>
      <c r="GN1" s="6" t="str">
        <v>CHE(I)(Z)&gt;FAS(I)(Z)_110L1</v>
      </c>
      <c r="GO1" s="6" t="str">
        <v>CKG(I)(Z)&gt;CBT(I)(Z)_110L1</v>
      </c>
      <c r="GP1" s="6" t="str">
        <v>CKG(I)(Z)&gt;CBT(I)(Z)_110L2</v>
      </c>
      <c r="GQ1" s="6" t="str">
        <v>CKG(I)(Z)&gt;KUD(I)(Z)_110L1</v>
      </c>
      <c r="GR1" s="6" t="str">
        <v>CKM(I)(Z)&gt;CHE(I)(Z)_110L1</v>
      </c>
      <c r="GS1" s="6" t="str">
        <v>CKM(I)(Z)&gt;COO(I)(Z)_110L1</v>
      </c>
      <c r="GT1" s="6" t="str">
        <v>CKM(I)(Z)&gt;DSN(I)(Z)_220L1</v>
      </c>
      <c r="GU1" s="6" t="str">
        <v>CKM(I)(Z)&gt;FAS(I)(Z)_110L1</v>
      </c>
      <c r="GV1" s="6" t="str">
        <v>CKM(I)(Z)&gt;FAS(I)(Z)_110L2</v>
      </c>
      <c r="GW1" s="6" t="str">
        <v>CKM(I)(Z)&gt;ISH(I)(Z)_220L1</v>
      </c>
      <c r="GX1" s="6" t="str">
        <v>CKM(I)(Z)&gt;POT(I)(Z)_110L1</v>
      </c>
      <c r="GY1" s="6" t="str">
        <v>CKN(I)(Z)&gt;CGL(I)(Z)_110L1</v>
      </c>
      <c r="GZ1" s="6" t="str">
        <v>CKN(I)(Z)&gt;GRO(I)(Z)_110L1</v>
      </c>
      <c r="HA1" s="6" t="str">
        <v>CKN(I)(Z)&gt;KER(I)(Z)_110L1</v>
      </c>
      <c r="HB1" s="6" t="str">
        <v>CLA(I)(Z)&gt;CKN(I)(Z)_110L1</v>
      </c>
      <c r="HC1" s="6" t="str">
        <v>CLA(I)(Z)&gt;DMY(I)(Z)_110L1</v>
      </c>
      <c r="HD1" s="6" t="str">
        <v>CLA(I)(Z)&gt;KRA(I)(Z)_220L1</v>
      </c>
      <c r="HE1" s="6" t="str">
        <v>CLA(I)(Z)&gt;MAC(I)(Z)_110L1</v>
      </c>
      <c r="HF1" s="6" t="str">
        <v>CLA(I)(Z)&gt;MAC(I)(Z)_110L2</v>
      </c>
      <c r="HG1" s="6" t="str">
        <v>CLE(I)(Z)&gt;CDU(I)(Z)_220L1</v>
      </c>
      <c r="HH1" s="6" t="str">
        <v>CLE(I)(Z)&gt;WOO(I)(Z)_220L1</v>
      </c>
      <c r="HI1" s="6" t="str">
        <v>CLG(I)(Z)&gt;CDU(I)(Z)_110L1</v>
      </c>
      <c r="HJ1" s="6" t="str">
        <v>CLG(I)(Z)&gt;FIN(I)(Z)_110L1</v>
      </c>
      <c r="HK1" s="6" t="str">
        <v>CLH(I)(Z)&gt;TRI(I)(Z)_110L1</v>
      </c>
      <c r="HL1" s="6" t="str">
        <v>CLH(I)(Z)&gt;TRL(I)(Z)_110L1</v>
      </c>
      <c r="HM1" s="6" t="str">
        <v>CLN(I)(Z)&gt;LA(I)(Z)_110L1</v>
      </c>
      <c r="HN1" s="6" t="str">
        <v>CLO(I)(Z)&gt;CF(I)(Z)_110L1</v>
      </c>
      <c r="HO1" s="6" t="str">
        <v>CLO(I)(Z)&gt;GOL(I)(T)_110L1</v>
      </c>
      <c r="HP1" s="6" t="str">
        <v>CLO(I)(Z)&gt;MRY(I)(Z)_110L1</v>
      </c>
      <c r="HQ1" s="6" t="str">
        <v>CLU(I)(Z)&gt;CBT(I)(Z)_110L1</v>
      </c>
      <c r="HR1" s="6" t="str">
        <v>CLU(I)(Z)&gt;KUD(I)(Z)_110L1</v>
      </c>
      <c r="HS1" s="6" t="str">
        <v>CLW(I)(Z)&gt;KLS(I)(Z)_110L1</v>
      </c>
      <c r="HT1" s="6" t="str">
        <v>CLW(I)(Z)&gt;KLS(I)(Z)_110L2</v>
      </c>
      <c r="HU1" s="6" t="str">
        <v>CLW(I)(Z)&gt;STR(I)(T)_110L1</v>
      </c>
      <c r="HV1" s="6" t="str">
        <v>CNB(I)(Z)&gt;GGT(I)(T)_110L1</v>
      </c>
      <c r="HW1" s="6" t="str">
        <v>CNB(I)(Z)&gt;PLS(I)(T)_110L1</v>
      </c>
      <c r="HX1" s="6" t="str">
        <v>CNB(I)(Z)&gt;MP(I)(T)_380L1</v>
      </c>
      <c r="HY1" s="6" t="str">
        <v>CNB(I)(Z)&gt;DSN(I)(T)_380L1</v>
      </c>
      <c r="HZ1" s="6" t="str">
        <v>COL(I)(Z)&gt;CDU(I)(Z)_110L1</v>
      </c>
      <c r="IA1" s="6" t="str">
        <v>COL(I)(Z)&gt;FIN(I)(Z)_110L1</v>
      </c>
      <c r="IB1" s="6" t="str">
        <v>COL(N)(Z)&gt;CPS(N)(Z)_110L1</v>
      </c>
      <c r="IC1" s="6" t="str">
        <v>COL(N)(Z)&gt;LIM(N)(Z)_110L1</v>
      </c>
      <c r="ID1" s="6" t="str">
        <v>COL(N)(Z)&gt;LOG(N)(Z)_110L1</v>
      </c>
      <c r="IE1" s="6" t="str">
        <v>COL(N)(Z)&gt;LOG(N)(Z)_110L2</v>
      </c>
      <c r="IF1" s="6" t="str">
        <v>COL(N)(Z)&gt;RSK(N)(Z)_110L1</v>
      </c>
      <c r="IG1" s="6" t="str">
        <v>COO(I)(Z)&gt;FTT(I)(Z)_110L1</v>
      </c>
      <c r="IH1" s="6" t="str">
        <v>COO(I)(Z)&gt;INC(I)(Z)_110L1</v>
      </c>
      <c r="II1" s="6" t="str">
        <v>COR(I)(Z)&gt;ENN(N)(Z)_110L1</v>
      </c>
      <c r="IJ1" s="6" t="str">
        <v>COR(I)(Z)&gt;GWE(I)(Z)_110L1</v>
      </c>
      <c r="IK1" s="6" t="str">
        <v>COS(I)(Z)&gt;ARI(I)(T)_110L1</v>
      </c>
      <c r="IL1" s="6" t="str">
        <v>COS(I)(Z)&gt;FLA(I)(Z)_110L1</v>
      </c>
      <c r="IM1" s="6" t="str">
        <v>COS(I)(Z)&gt;FLA(I)(Z)_110L2</v>
      </c>
      <c r="IN1" s="6" t="str">
        <v>COW(I)(Z)&gt;OLD(I)(Z)_110L1</v>
      </c>
      <c r="IO1" s="6" t="str">
        <v>COW(I)(Z)&gt;OLD(I)(Z)_110L2</v>
      </c>
      <c r="IP1" s="6" t="str">
        <v>COW(I)(Z)&gt;RAF(I)(Z)_110L1</v>
      </c>
      <c r="IQ1" s="6" t="str">
        <v>COW(I)(Z)&gt;WHI(I)(Z)_110L1</v>
      </c>
      <c r="IR1" s="6" t="str">
        <v>CPK(I)(Z)&gt;CKM(I)(Z)_110L1</v>
      </c>
      <c r="IS1" s="6" t="str">
        <v>CPK(I)(Z)&gt;TNY(I)(Z)_110L1</v>
      </c>
      <c r="IT1" s="6" t="str">
        <v>CPS(N)(Z)&gt;CRD(N)(Z)_110L1</v>
      </c>
      <c r="IU1" s="6" t="str">
        <v>CPS(N)(Z)&gt;KMT(N)(Z)_110L1</v>
      </c>
      <c r="IV1" s="6" t="str">
        <v>CPS(N)(Z)&gt;LIM(N)(Z)_110L1</v>
      </c>
      <c r="IW1" s="6" t="str">
        <v>CPS(N)(Z)&gt;LMR(N)(Z)_110L1</v>
      </c>
      <c r="IX1" s="6" t="str">
        <v>CPS(N)(Z)&gt;LMR(N)(Z)_110L2</v>
      </c>
      <c r="IY1" s="6" t="str">
        <v>CPS(N)(Z)&gt;MAG(N)(Z)_275L1</v>
      </c>
      <c r="IZ1" s="6" t="str">
        <v>CPS(N)(Z)&gt;MAG(N)(Z)_275L2</v>
      </c>
      <c r="JA1" s="6" t="str">
        <v>CPS(N)(Z)&gt;SPR(N)(Z)_110L1</v>
      </c>
      <c r="JB1" s="6" t="str">
        <v>CPS(N)(Z)&gt;SPR(N)(Z)_110L2</v>
      </c>
      <c r="JC1" s="6" t="str">
        <v>CPS(N)(Z)&gt;STR(N)(Z)_110L1</v>
      </c>
      <c r="JD1" s="6" t="str">
        <v>CRA(I)(Z)&gt;LWD(I)(Z)_110L1</v>
      </c>
      <c r="JE1" s="6" t="str">
        <v>CRA(I)(Z)&gt;WEX(I)(Z)_110L1</v>
      </c>
      <c r="JF1" s="6" t="str">
        <v>CRG(N)(Z)&gt;KEL(N)(Z)_110L1</v>
      </c>
      <c r="JG1" s="6" t="str">
        <v>CRG(N)(Z)&gt;TMN(N)(Z)_110L1</v>
      </c>
      <c r="JH1" s="6" t="str">
        <v>CRM(I)(Z)&gt;KLM(I)(Z)_110L1</v>
      </c>
      <c r="JI1" s="6" t="str">
        <v>CRM(I)(Z)&gt;KLM(I)(Z)_110L2</v>
      </c>
      <c r="JJ1" s="6" t="str">
        <v>CRO(I)(Z)&gt;IA(I)(Z)_110L1</v>
      </c>
      <c r="JK1" s="6" t="str">
        <v>CRO(I)(Z)&gt;KBY(I)(Z)_110L1</v>
      </c>
      <c r="JL1" s="6" t="str">
        <v>CSH(I)(Z)&gt;CLN(I)(Z)_110L1</v>
      </c>
      <c r="JM1" s="6" t="str">
        <v>CSH(I)(Z)&gt;DLT(I)(Z)_110L1</v>
      </c>
      <c r="JN1" s="6" t="str">
        <v>CSH(I)(Z)&gt;ENN(I)(Z)_110L1</v>
      </c>
      <c r="JO1" s="6" t="str">
        <v>CSH(I)(Z)&gt;FLA(I)(Z)_220L1</v>
      </c>
      <c r="JP1" s="6" t="str">
        <v>CSH(I)(Z)&gt;GAL(I)(Z)_110L1</v>
      </c>
      <c r="JQ1" s="6" t="str">
        <v>CSH(I)(Z)&gt;GAL(I)(Z)_110L2</v>
      </c>
      <c r="JR1" s="6" t="str">
        <v>CSH(I)(Z)&gt;GAL(I)(Z)_110L3</v>
      </c>
      <c r="JS1" s="6" t="str">
        <v>CSH(I)(Z)&gt;PRO(I)(Z)_220L1</v>
      </c>
      <c r="JT1" s="6" t="str">
        <v>CSH(I)(Z)&gt;SAL(I)(Z)_110L1</v>
      </c>
      <c r="JU1" s="6" t="str">
        <v>CSH(I)(Z)&gt;SOM(I)(T)_110L1</v>
      </c>
      <c r="JV1" s="6" t="str">
        <v>CSH(I)(Z)&gt;TYN(I)(Z)_220L1</v>
      </c>
      <c r="JW1" s="13" t="str">
        <v>CTN(I)(Z)&gt;TIP(I)(Z)_110L1</v>
      </c>
      <c r="JX1" s="13" t="str">
        <v>CTY(I)(Z)&gt;FTT(I)(Z)_110L1</v>
      </c>
      <c r="JY1" s="6" t="str">
        <v>CTY(I)(Z)&gt;INC(I)(Z)_110L1</v>
      </c>
      <c r="JZ1" s="6" t="str">
        <v>CUL(I)(Z)&gt;DGN(I)(Z)_110L1</v>
      </c>
      <c r="KA1" s="6" t="str">
        <v>CUL(I)(Z)&gt;GI(I)(Z)_220L1</v>
      </c>
      <c r="KB1" s="6" t="str">
        <v>CUL(I)(Z)&gt;KRA(I)(Z)_220L1</v>
      </c>
      <c r="KC1" s="6" t="str">
        <v>CUL(I)(Z)&gt;WAT(I)(Z)_110L1</v>
      </c>
      <c r="KD1" s="6" t="str">
        <v>CUL(I)(Z)&gt;RTO(I)(Z)_110L1</v>
      </c>
      <c r="KE1" s="6" t="str">
        <v>CUN(I)(Z)&gt;GLR(I)(Z)_110L1</v>
      </c>
      <c r="KF1" s="6" t="str">
        <v>CUN(I)(Z)&gt;SLI(I)(Z)_110L1</v>
      </c>
      <c r="KG1" s="6" t="str">
        <v>CUR(I)(Z)&gt;BKM(I)(Z)_110L1</v>
      </c>
      <c r="KH1" s="6" t="str">
        <v>CUR(I)(Z)&gt;NEN(I)(Z)_110L1</v>
      </c>
      <c r="KI1" s="6" t="str">
        <v>CUS(I)(Z)&gt;MLC(I)(Z)_110L1</v>
      </c>
      <c r="KJ1" s="6" t="str">
        <v>CUS(I)(Z)&gt;NEW(I)(Z)_110L1</v>
      </c>
      <c r="KK1" s="6" t="str">
        <v>CUS(I)(Z)&gt;PLS(I)(Z)_110L1</v>
      </c>
      <c r="KL1" s="6" t="str">
        <v>CUS(I)(Z)&gt;PPT(I)(Z)_110L1</v>
      </c>
      <c r="KM1" s="6" t="str">
        <v>CVW(I)(Z)&gt;COW(I)(Z)_110L1</v>
      </c>
      <c r="KN1" s="6" t="str">
        <v>CVW(I)(Z)&gt;DKL(I)(Z)_110L1</v>
      </c>
      <c r="KO1" s="6" t="str">
        <v>CVW(I)(Z)&gt;KRA(I)(Z)_110L1</v>
      </c>
      <c r="KP1" s="6" t="str">
        <v>DAL(I)(Z)&gt;DAL(I)(T)_110L1</v>
      </c>
      <c r="KQ1" s="6" t="str">
        <v>DDK(I)(Z)&gt;LOU(I)(Z)_110L1</v>
      </c>
      <c r="KR1" s="6" t="str">
        <v>DDK(I)(Z)&gt;MLN(I)(Z)_110L1</v>
      </c>
      <c r="KS1" s="6" t="str">
        <v>DER(I)(Z)&gt;KIN(I)(Z)_110L1</v>
      </c>
      <c r="KT1" s="6" t="str">
        <v>DER(I)(Z)&gt;TEN(I)(Z)_110L1</v>
      </c>
      <c r="KU1" s="6" t="str">
        <v>TEN(I)(Z)&gt;MAY(I)(Z)_110L1</v>
      </c>
      <c r="KV1" s="6" t="str">
        <v>DER(I)(Z)&gt;TSB(I)(Z)_110L1</v>
      </c>
      <c r="KW1" s="6" t="str">
        <v>DEY(I)(Z)&gt;DAL(I)(T)_110L1</v>
      </c>
      <c r="KX1" s="6" t="str">
        <v>DEY(I)(Z)&gt;PLS(I)(Z)_110L1</v>
      </c>
      <c r="KY1" s="6" t="str">
        <v>DFR(I)(T)&gt;DFR(I)(Z)_110L1</v>
      </c>
      <c r="KZ1" s="6" t="str">
        <v>DFR(I)(Z)&gt;MGT(I)(Z)_110L1</v>
      </c>
      <c r="LA1" s="6" t="str">
        <v>DGN(I)(Z)&gt;WHE(I)(Z)_110L1</v>
      </c>
      <c r="LB1" s="6" t="str">
        <v>DGN(I)(Z)&gt;RTO(I)(Z)_110L1</v>
      </c>
      <c r="LC1" s="6" t="str">
        <v>DMY(I)(Z)&gt;CDN(I)(Z)_110L1</v>
      </c>
      <c r="LD1" s="6" t="str">
        <v>DMY(I)(Z)&gt;MAC(I)(Z)_110L1</v>
      </c>
      <c r="LE1" s="6" t="str">
        <v>DON(N)(Z)&gt;FIN(N)(Z)_110L1</v>
      </c>
      <c r="LF1" s="6" t="str">
        <v>DON(N)(Z)&gt;FIN(N)(Z)_110L2</v>
      </c>
      <c r="LG1" s="6" t="str">
        <v>DON(N)(Z)&gt;HAN(N)(Z)_110L1</v>
      </c>
      <c r="LH1" s="6" t="str">
        <v>DON(N)(Z)&gt;HAN(N)(Z)_110L2</v>
      </c>
      <c r="LI1" s="6" t="str">
        <v>DRM(I)(Z)&gt;CLO(I)(Z)_110L1</v>
      </c>
      <c r="LJ1" s="6" t="str">
        <v>DRM(I)(Z)&gt;LET(I)(Z)_110L1</v>
      </c>
      <c r="LK1" s="6" t="str">
        <v>DRM(I)(Z)&gt;MEE(I)(Z)_110L1</v>
      </c>
      <c r="LL1" s="6" t="str">
        <v>DRO(N)(Z)&gt;ENN(N)(Z)_110L1</v>
      </c>
      <c r="LM1" s="6" t="str">
        <v>DRO(N)(Z)&gt;ENN(N)(Z)_110L2</v>
      </c>
      <c r="LN1" s="6" t="str">
        <v>DRO(N)(Z)&gt;OMA(N)(Z)_110L1</v>
      </c>
      <c r="LO1" s="6" t="str">
        <v>DRO(N)(Z)&gt;OMA(N)(Z)_110L2</v>
      </c>
      <c r="LP1" s="6" t="str">
        <v>DRQ(N)(Z)&gt;DRO(N)(Z)_110L1</v>
      </c>
      <c r="LQ1" s="6" t="str">
        <v>DRU(I)(Z)&gt;ENN(I)(Z)_110L1</v>
      </c>
      <c r="LR1" s="6" t="str">
        <v>DRU(N)(Z)&gt;TAN(N)(Z)_110L1</v>
      </c>
      <c r="LS1" s="6" t="str">
        <v>DRU(N)(Z)&gt;TAN(N)(Z)_110L2</v>
      </c>
      <c r="LT1" s="6" t="str">
        <v>DRU(N)(Z)&gt;TAN(N)(Z)_110L3</v>
      </c>
      <c r="LU1" s="6" t="str">
        <v>DRU(N)(Z)&gt;TMN(N)(Z)_110L1</v>
      </c>
      <c r="LV1" s="6" t="str">
        <v>DRU(N)(Z)&gt;TMN(N)(Z)_110L2</v>
      </c>
      <c r="LW1" s="6" t="str">
        <v>DRY(I)(Z)&gt;GOR(I)(Z)_110L1</v>
      </c>
      <c r="LX1" s="6" t="str">
        <v>DRY(I)(Z)&gt;LOU(I)(Z)_110L1</v>
      </c>
      <c r="LY1" s="6" t="str">
        <v>DRY(I)(Z)&gt;PLA(I)(Z)_110L1</v>
      </c>
      <c r="LZ1" s="6" t="str">
        <v>DRY(I)(Z)&gt;OBE(I)(Z)_110L1</v>
      </c>
      <c r="MA1" s="6" t="str">
        <v>DSN(I)(Z)&gt;KLS(I)(Z)_220L1</v>
      </c>
      <c r="MB1" s="6" t="str">
        <v>DSN(I)(Z)&gt;MAY(I)(Z)_220L1</v>
      </c>
      <c r="MC1" s="6" t="str">
        <v>DSN(I)(Z)&gt;MAY(I)(Z)_220L2</v>
      </c>
      <c r="MD1" s="6" t="str">
        <v>DSN(I)(Z)&gt;MAY(I)(Z)_220L3</v>
      </c>
      <c r="ME1" s="6" t="str">
        <v>DSN(I)(Z)&gt;MP(I)(Z)_380L1</v>
      </c>
      <c r="MF1" s="6" t="str">
        <v>DSN(I)(Z)&gt;TH(I)(Z)_220L1</v>
      </c>
      <c r="MG1" s="6" t="str">
        <v>DTN(I)(Z)&gt;BLC(I)(Z)_110L1</v>
      </c>
      <c r="MH1" s="6" t="str">
        <v>DTN(I)(Z)&gt;FIN(I)(Z)_110L1</v>
      </c>
      <c r="MI1" s="6" t="str">
        <v>DTN(I)(Z)&gt;KLM(I)(Z)_110L1</v>
      </c>
      <c r="MJ1" s="6" t="str">
        <v>DUN(N)(Z)&gt;OMA(N)(Z)_110L1</v>
      </c>
      <c r="MK1" s="6" t="str">
        <v>DUN(N)(Z)&gt;TMN(N)(Z)_110L1</v>
      </c>
      <c r="ML1" s="6" t="str">
        <v>DUN(N)(Z)&gt;TMN(N)(Z)_110L2</v>
      </c>
      <c r="MM1" s="6" t="str">
        <v>DUN(N)(Z)&gt;TMN(N)(Z)_110L3</v>
      </c>
      <c r="MN1" s="6" t="str">
        <v>ENN(I)(Z)&gt;SLC(I)(Z)_110L1</v>
      </c>
      <c r="MO1" s="6" t="str">
        <v>FIN(I)(Z)&gt;GLA(I)(Z)_110L1</v>
      </c>
      <c r="MP1" s="6" t="str">
        <v>FIN(I)(Z)&gt;GRA(I)(Z)_110L1</v>
      </c>
      <c r="MQ1" s="6" t="str">
        <v>FIN(I)(Z)&gt;HN(I)(Z)_220L1</v>
      </c>
      <c r="MR1" s="6" t="str">
        <v>FIN(I)(Z)&gt;MCD(I)(Z)_110L1</v>
      </c>
      <c r="MS1" s="6" t="str">
        <v>FIN(I)(Z)&gt;NW(I)(Z)_220L1</v>
      </c>
      <c r="MT1" s="6" t="str">
        <v>FIN(I)(Z)&gt;POP(I)(Z)_110L1</v>
      </c>
      <c r="MU1" s="13" t="str">
        <v>FIN(I)(Z)&gt;PTN(I)(Z)_110L1</v>
      </c>
      <c r="MV1" s="6" t="str">
        <v>FIN(I)(Z)&gt;SHL(I)(Z)_220L1</v>
      </c>
      <c r="MW1" s="6" t="str">
        <v>FIN(I)(Z)&gt;SVN(I)(Z)_110L1</v>
      </c>
      <c r="MX1" s="13" t="str">
        <v>FIN(N)(Z)&gt;HAN(N)(Z)_110L1</v>
      </c>
      <c r="MY1" s="13" t="str">
        <v>FIN(N)(Z)&gt;HAN(N)(Z)_110L2</v>
      </c>
      <c r="MZ1" s="6" t="str">
        <v>FLA(I)(Z)&gt;GIL(I)(Z)_110L1</v>
      </c>
      <c r="NA1" s="6" t="str">
        <v>FLA(I)(Z)&gt;LOU(I)(Z)_220L1</v>
      </c>
      <c r="NB1" s="6" t="str">
        <v>FLA(I)(Z)&gt;SLB(I)(Z)_110L1</v>
      </c>
      <c r="NC1" s="6" t="str">
        <v>FLA(I)(Z)&gt;SLI(I)(Z)_110L1</v>
      </c>
      <c r="ND1" s="6" t="str">
        <v>FLA(I)(Z)&gt;SRA(I)(Z)_220L1</v>
      </c>
      <c r="NE1" s="6" t="str">
        <v>FLA(I)(Z)&gt;TON(I)(Z)_110L1</v>
      </c>
      <c r="NF1" s="6" t="str">
        <v>FRS(I)(Z)&gt;HAR(I)(Z)_110L1</v>
      </c>
      <c r="NG1" s="6" t="str">
        <v>FRS(I)(Z)&gt;HEU(I)(Z)_110L1</v>
      </c>
      <c r="NH1" s="6" t="str">
        <v>FRS(I)(Z)&gt;INC(I)(Z)_110L1</v>
      </c>
      <c r="NI1" s="6" t="str">
        <v>FRS(I)(Z)&gt;TRN(I)(Z)_110L1</v>
      </c>
      <c r="NJ1" s="6" t="str">
        <v>GAL(I)(Z)&gt;SAL(I)(Z)_110L1</v>
      </c>
      <c r="NK1" s="13" t="str">
        <v>GAL(I)(Z)&gt;SEE(I)(Z)_110L1</v>
      </c>
      <c r="NL1" s="13" t="str">
        <v>CDU(I)(Z)&gt;GAN(I)(Z)_110L1</v>
      </c>
      <c r="NM1" s="6" t="str">
        <v>GCA(I)(Z)&gt;GRI(I)(T)_110L1</v>
      </c>
      <c r="NN1" s="6" t="str">
        <v>GCA(I)(Z)&gt;INC(I)(Z)_110L1</v>
      </c>
      <c r="NO1" s="6" t="str">
        <v>GCA(I)(Z)&gt;INC(I)(Z)_110L2</v>
      </c>
      <c r="NP1" s="6" t="str">
        <v>GCA(I)(Z)&gt;NAN(I)(Z)_110L1</v>
      </c>
      <c r="NQ1" s="6" t="str">
        <v>GCA(I)(Z)&gt;NAN(I)(Z)_110L2</v>
      </c>
      <c r="NR1" s="6" t="str">
        <v>GGO(I)(Z)&gt;RAF(I)(Z)_220L1</v>
      </c>
      <c r="NS1" s="6" t="str">
        <v>GI(I)(Z)&gt;KKY(I)(Z)_110L1</v>
      </c>
      <c r="NT1" s="6" t="str">
        <v>GI(I)(Z)&gt;KLS(I)(Z)_220L1</v>
      </c>
      <c r="NU1" s="6" t="str">
        <v>GI(I)(Z)&gt;LWD(I)(Z)_220L1</v>
      </c>
      <c r="NV1" s="6" t="str">
        <v>GI(I)(Z)&gt;LWN(I)(Z)_220L1</v>
      </c>
      <c r="NW1" s="6" t="str">
        <v>GI(I)(Z)&gt;WAT(I)(Z)_110L1</v>
      </c>
      <c r="NX1" s="6" t="str">
        <v>GI(I)(Z)&gt;WAT(I)(Z)_110L2</v>
      </c>
      <c r="NY1" s="6" t="str">
        <v>GI(I)(Z)&gt;ROP(I)(Z)_110L1</v>
      </c>
      <c r="NZ1" s="6" t="str">
        <v>ROP(I)(Z)&gt;WEX(I)(Z)_110L1</v>
      </c>
      <c r="OA1" s="6" t="str">
        <v>GLA(I)(Z)&gt;SVN(I)(Z)_110L1</v>
      </c>
      <c r="OB1" s="6" t="str">
        <v>GLE(I)(Z)&gt;KCR(I)(Z)_110L1</v>
      </c>
      <c r="OC1" s="6" t="str">
        <v>GLE(N)(Z)&gt;KEL(N)(Z)_110L1</v>
      </c>
      <c r="OD1" s="6" t="str">
        <v>GLE(N)(Z)&gt;KEL(N)(Z)_110L2</v>
      </c>
      <c r="OE1" s="6" t="str">
        <v>GOL(I)(Z)&gt;GOL(I)(T)_110L1</v>
      </c>
      <c r="OF1" s="6" t="str">
        <v>GOR(I)(Z)&gt;LOU(I)(Z)_220L1</v>
      </c>
      <c r="OG1" s="6" t="str">
        <v>GOR(I)(Z)&gt;MAY(I)(Z)_220L1</v>
      </c>
      <c r="OH1" s="6" t="str">
        <v>GOR(I)(Z)&gt;MTH(I)(Z)_110L1</v>
      </c>
      <c r="OI1" s="6" t="str">
        <v>GOR(I)(Z)&gt;NAV(I)(Z)_110L1</v>
      </c>
      <c r="OJ1" s="6" t="str">
        <v>GOR(I)(Z)&gt;NAV(I)(Z)_110L2</v>
      </c>
      <c r="OK1" s="6" t="str">
        <v>GOR(I)(Z)&gt;NAV(I)(Z)_110L3</v>
      </c>
      <c r="OL1" s="6" t="str">
        <v>GOR(I)(Z)&gt;GRH(I)(Z)_110L1</v>
      </c>
      <c r="OM1" s="6" t="str">
        <v>GRH(I)(Z)&gt;PLA(I)(Z)_110L1</v>
      </c>
      <c r="ON1" s="6" t="str">
        <v>GOR(N)(Z)&gt;OMA(N)(Z)_110L1</v>
      </c>
      <c r="OO1" s="6" t="str">
        <v>GOR(N)(Z)&gt;TMN(N)(Z)_110L1</v>
      </c>
      <c r="OP1" s="6" t="str">
        <v>GRA(I)(Z)&gt;NBY(I)(Z)_110L1</v>
      </c>
      <c r="OQ1" s="6" t="str">
        <v>GRI(I)(T)&gt;MAY(I)(Z)_110L1</v>
      </c>
      <c r="OR1" s="6" t="str">
        <v>GRI(I)(Z)&gt;GRI(I)(T)_110L1</v>
      </c>
      <c r="OS1" s="6" t="str">
        <v>GRO(I)(Z)&gt;BVK(I)(Z)_110L1</v>
      </c>
      <c r="OT1" s="6" t="str">
        <v>HAN(N)(Z)&gt;BYC(N)(Z)_275L1</v>
      </c>
      <c r="OU1" s="6" t="str">
        <v>HAN(N)(Z)&gt;LIS(N)(Z)_110L1</v>
      </c>
      <c r="OV1" s="6" t="str">
        <v>HAN(N)(Z)&gt;LIS(N)(Z)_110L2</v>
      </c>
      <c r="OW1" s="6" t="str">
        <v>HAR(I)(Z)&gt;RE(I)(Z)_110L1</v>
      </c>
      <c r="OX1" s="6" t="str">
        <v>HEU(I)(Z)&gt;INC(I)(Z)_110L1</v>
      </c>
      <c r="OY1" s="6" t="str">
        <v>HWN(I)(Z)&gt;MGT(I)(Z)_110L1</v>
      </c>
      <c r="OZ1" s="6" t="str">
        <v>HWN(I)(Z)&gt;KIN(I)(Z)_110L1</v>
      </c>
      <c r="PA1" s="6" t="str">
        <v>HWN(I)(Z)&gt;DFR(I)(T)_110L1</v>
      </c>
      <c r="PB1" s="6" t="str">
        <v>IA(I)(Z)&gt;MAC(I)(Z)_110L1</v>
      </c>
      <c r="PC1" s="6" t="str">
        <v>IKE(I)(Z)&gt;IKE(I)(T)_110L1</v>
      </c>
      <c r="PD1" s="6" t="str">
        <v>INC(I)(Z)&gt;ISH(I)(Z)_220L1</v>
      </c>
      <c r="PE1" s="6" t="str">
        <v>INC(I)(Z)&gt;MIL(I)(Z)_110L1</v>
      </c>
      <c r="PF1" s="6" t="str">
        <v>INC(I)(Z)&gt;PB(I)(Z)_220L1</v>
      </c>
      <c r="PG1" s="6" t="str">
        <v>INC(I)(Z)&gt;PB(I)(Z)_220L2</v>
      </c>
      <c r="PH1" s="6" t="str">
        <v>ISH(I)(Z)&gt;SHL(I)(Z)_220L1</v>
      </c>
      <c r="PI1" s="6" t="str">
        <v>KBY(I)(Z)&gt;KRA(I)(Z)_110L1</v>
      </c>
      <c r="PJ1" s="6" t="str">
        <v>KBY(I)(Z)&gt;KRA(I)(Z)_110L2</v>
      </c>
      <c r="PK1" s="6" t="str">
        <v>KBY(I)(Z)&gt;MAL(I)(Z)_110L1</v>
      </c>
      <c r="PL1" s="6" t="str">
        <v>KBY(I)(Z)&gt;MR(I)(Z)_110L1</v>
      </c>
      <c r="PM1" s="6" t="str">
        <v>KBY(I)(Z)&gt;MR(I)(Z)_110L2</v>
      </c>
      <c r="PN1" s="6" t="str">
        <v>KEL(N)(Z)&gt;KPS(N)(Z)_275L1</v>
      </c>
      <c r="PO1" s="6" t="str">
        <v>KEL(N)(Z)&gt;KPS(N)(Z)_275L2</v>
      </c>
      <c r="PP1" s="6" t="str">
        <v>KEL(N)(Z)&gt;MAG(N)(Z)_275L1</v>
      </c>
      <c r="PQ1" s="6" t="str">
        <v>KEL(N)(Z)&gt;RSK(N)(Z)_110L1</v>
      </c>
      <c r="PR1" s="6" t="str">
        <v>KER(I)(Z)&gt;OUG(I)(T)_110L1</v>
      </c>
      <c r="PS1" s="6" t="str">
        <v>KIN(I)(Z)&gt;DFR(I)(T)_110L1</v>
      </c>
      <c r="PT1" s="6" t="str">
        <v>KIN(I)(Z)&gt;MUL(I)(Z)_110L1</v>
      </c>
      <c r="PU1" s="6" t="str">
        <v>KLH(I)(Z)&gt;THU(I)(Z)_110L1</v>
      </c>
      <c r="PV1" s="6" t="str">
        <v>KLM(I)(Z)&gt;NBY(I)(Z)_110L1</v>
      </c>
      <c r="PW1" s="6" t="str">
        <v>KLM(I)(Z)&gt;POP(I)(Z)_110L1</v>
      </c>
      <c r="PX1" s="6" t="str">
        <v>KLN(I)(Z)&gt;CUR(I)(Z)_110L1</v>
      </c>
      <c r="PY1" s="6" t="str">
        <v>KLN(I)(Z)&gt;KPG(I)(Z)_220L1</v>
      </c>
      <c r="PZ1" s="6" t="str">
        <v>KLN(I)(Z)&gt;KRA(I)(Z)_220L1</v>
      </c>
      <c r="QA1" s="6" t="str">
        <v>KLN(I)(Z)&gt;LIM(I)(Z)_110L1</v>
      </c>
      <c r="QB1" s="6" t="str">
        <v>KLN(I)(Z)&gt;LIM(I)(Z)_110L2</v>
      </c>
      <c r="QC1" s="6" t="str">
        <v>KLN(I)(Z)&gt;SH(I)(Z)_220L1</v>
      </c>
      <c r="QD1" s="6" t="str">
        <v>KLN(I)(Z)&gt;SNG(I)(Z)_110L1</v>
      </c>
      <c r="QE1" s="6" t="str">
        <v>KLP(I)(Z)&gt;CNG(I)(Z)_110L1</v>
      </c>
      <c r="QF1" s="6" t="str">
        <v>KLP(I)(Z)&gt;KNR(I)(Z)_110L1</v>
      </c>
      <c r="QG1" s="6" t="str">
        <v>KLP(I)(Z)&gt;KNR(I)(Z)_220L1</v>
      </c>
      <c r="QH1" s="6" t="str">
        <v>KLP(I)(Z)&gt;KNR(I)(Z)_220L2</v>
      </c>
      <c r="QI1" s="6" t="str">
        <v>KLP(I)(Z)&gt;MP(I)(Z)_220L1</v>
      </c>
      <c r="QJ1" s="6" t="str">
        <v>KLP(I)(Z)&gt;MP(I)(Z)_220L2</v>
      </c>
      <c r="QK1" s="6" t="str">
        <v>KLP(I)(Z)&gt;RAT(I)(Z)_110L1</v>
      </c>
      <c r="QL1" s="6" t="str">
        <v>KLP(I)(Z)&gt;TB(I)(Z)_110L1</v>
      </c>
      <c r="QM1" s="6" t="str">
        <v>KLP(I)(Z)&gt;TB(I)(Z)_110L2</v>
      </c>
      <c r="QN1" s="6" t="str">
        <v>KLP(I)(Z)&gt;TB(I)(Z)_220L1</v>
      </c>
      <c r="QO1" s="6" t="str">
        <v>KLP(I)(Z)&gt;TB(I)(Z)_220L2</v>
      </c>
      <c r="QP1" s="6" t="str">
        <v>KLP(I)(Z)&gt;TRL(I)(Z)_110L1</v>
      </c>
      <c r="QQ1" s="6" t="str">
        <v>KLP(I)(Z)&gt;TRL(I)(Z)_110L2</v>
      </c>
      <c r="QR1" s="6" t="str">
        <v>KLS(I)(Z)&gt;KKY(I)(Z)_110L1</v>
      </c>
      <c r="QS1" s="6" t="str">
        <v>KMT(N)(Z)&gt;SLK(N)(Z)_110L1</v>
      </c>
      <c r="QT1" s="6" t="str">
        <v>KMT(N)(Z)&gt;STR(N)(Z)_110L1</v>
      </c>
      <c r="QU1" s="6" t="str">
        <v>KNR(I)(Z)&gt;BYH(I)(Z)_220L1</v>
      </c>
      <c r="QV1" s="6" t="str">
        <v>KNR(I)(Z)&gt;TRI(I)(Z)_110L1</v>
      </c>
      <c r="QW1" s="13" t="str">
        <v>KNR(I)(Z)&gt;TRI(I)(Z)_110L2</v>
      </c>
      <c r="QX1" s="13" t="str">
        <v>KNY(I)(Z)&gt;BUF(I)(Z)_110L1</v>
      </c>
      <c r="QY1" s="6" t="str">
        <v>KNY(I)(Z)&gt;KLH(I)(Z)_110L1</v>
      </c>
      <c r="QZ1" s="6" t="str">
        <v>KNY(I)(Z)&gt;SAL(I)(Z)_110L1</v>
      </c>
      <c r="RA1" s="6" t="str">
        <v>KNY(I)(Z)&gt;SCR(I)(Z)_110L1</v>
      </c>
      <c r="RB1" s="6" t="str">
        <v>KNY(I)(Z)&gt;UGL(I)(Z)_110L1</v>
      </c>
      <c r="RC1" s="6" t="str">
        <v>KPS(N)(Z)&gt;TAN(N)(Z)_275L1</v>
      </c>
      <c r="RD1" s="6" t="str">
        <v>KRA(I)(Z)&gt;BAR(I)(T)_110L1</v>
      </c>
      <c r="RE1" s="6" t="str">
        <v>KRA(I)(Z)&gt;LGT(I)(T)_110L1</v>
      </c>
      <c r="RF1" s="6" t="str">
        <v>KRA(I)(Z)&gt;MEN(I)(Z)_110L1</v>
      </c>
      <c r="RG1" s="13" t="str">
        <v>KRA(I)(Z)&gt;MID(I)(Z)_110L1</v>
      </c>
      <c r="RH1" s="6" t="str">
        <v>KRA(I)(Z)&gt;RAF(I)(Z)_220L1</v>
      </c>
      <c r="RI1" s="6" t="str">
        <v>KRA(I)(Z)&gt;WHO(I)(Z)_110L1</v>
      </c>
      <c r="RJ1" s="6" t="str">
        <v>KTL(I)(Z)&gt;MAY(I)(Z)_110L1</v>
      </c>
      <c r="RK1" s="6" t="str">
        <v>KTL(I)(Z)&gt;MON(I)(Z)_110L1</v>
      </c>
      <c r="RL1" s="6" t="str">
        <v>KTN(I)(Z)&gt;WAT(I)(Z)_110L1</v>
      </c>
      <c r="RM1" s="6" t="str">
        <v>KUD(I)(Z)&gt;CBT(I)(Z)_110L1</v>
      </c>
      <c r="RN1" s="6" t="str">
        <v>KUR(I)(Z)&gt;NAV(I)(Z)_110L1</v>
      </c>
      <c r="RO1" s="6" t="str">
        <v>KYT(I)(Z)&gt;MAY(I)(Z)_220L1</v>
      </c>
      <c r="RP1" s="6" t="str">
        <v>KYT(I)(Z)&gt;WOO(I)(Z)_220L1</v>
      </c>
      <c r="RQ1" s="6" t="str">
        <v>LA(I)(Z)&gt;MUL(I)(Z)_110L1</v>
      </c>
      <c r="RR1" s="6" t="str">
        <v>LA(I)(Z)&gt;RIC(I)(Z)_110L1</v>
      </c>
      <c r="RS1" s="6" t="str">
        <v>LA(I)(Z)&gt;RIC(I)(Z)_110L2</v>
      </c>
      <c r="RT1" s="6" t="str">
        <v>LA(I)(Z)&gt;SLB(I)(Z)_110L1</v>
      </c>
      <c r="RU1" s="6" t="str">
        <v>LNA(I)(Z)&gt;TIV(I)(Z)_110L1</v>
      </c>
      <c r="RV1" s="6" t="str">
        <v>LCK(I)(Z)&gt;MUL(I)(Z)_110L1</v>
      </c>
      <c r="RW1" s="6" t="str">
        <v>LET(I)(Z)&gt;GOL(I)(T)_110L1</v>
      </c>
      <c r="RX1" s="6" t="str">
        <v>LET(I)(Z)&gt;STR(N)(Z)_110L1</v>
      </c>
      <c r="RY1" s="6" t="str">
        <v>LET(I)(Z)&gt;TIV(I)(Z)_110L1</v>
      </c>
      <c r="RZ1" s="6" t="str">
        <v>LET(I)(Z)&gt;TLK(I)(Z)_110L1</v>
      </c>
      <c r="SA1" s="6" t="str">
        <v>LET(I)(Z)&gt;LNA(I)(Z)_110L1</v>
      </c>
      <c r="SB1" s="6" t="str">
        <v>LIB(I)(Z)&gt;MR(I)(Z)_110L1</v>
      </c>
      <c r="SC1" s="6" t="str">
        <v>LIB(I)(Z)&gt;MR(I)(Z)_110L2</v>
      </c>
      <c r="SD1" s="6" t="str">
        <v>LIM(I)(Z)&gt;MTN(I)(Z)_110L1</v>
      </c>
      <c r="SE1" s="6" t="str">
        <v>LIM(I)(Z)&gt;RAT(I)(Z)_110L1</v>
      </c>
      <c r="SF1" s="6" t="str">
        <v>LIS(I)(Z)&gt;LOU(I)(Z)_110L1</v>
      </c>
      <c r="SG1" s="6" t="str">
        <v>LIS(I)(Z)&gt;LSA(I)(T)_110L1</v>
      </c>
      <c r="SH1" s="6" t="str">
        <v>LSA(I)(T)&gt;SKL(I)(Z)_110L1</v>
      </c>
      <c r="SI1" s="6" t="str">
        <v>LIS(N)(Z)&gt;TAN(N)(Z)_110L1</v>
      </c>
      <c r="SJ1" s="6" t="str">
        <v>LIS(N)(Z)&gt;TAN(N)(Z)_110L2</v>
      </c>
      <c r="SK1" s="6" t="str">
        <v>LOU(I)(Z)&gt;MLN(I)(Z)_110L1</v>
      </c>
      <c r="SL1" s="6" t="str">
        <v>LOU(I)(Z)&gt;MTH(I)(Z)_110L1</v>
      </c>
      <c r="SM1" s="6" t="str">
        <v>LOU(I)(Z)&gt;RRU(I)(Z)_110L1</v>
      </c>
      <c r="SN1" s="6" t="str">
        <v>LOU(I)(Z)&gt;TAN(N)(Z)_275L1</v>
      </c>
      <c r="SO1" s="6" t="str">
        <v>LOU(I)(Z)&gt;TAN(N)(Z)_275L2</v>
      </c>
      <c r="SP1" s="6" t="str">
        <v>LOU(I)(Z)&gt;WOO(I)(Z)_220L1</v>
      </c>
      <c r="SQ1" s="6" t="str">
        <v>LSA(I)(Z)&gt;LSA(I)(T)_110L1</v>
      </c>
      <c r="SR1" s="6" t="str">
        <v>LSN(I)(Z)&gt;THU(I)(Z)_110L1</v>
      </c>
      <c r="SS1" s="6" t="str">
        <v>MAG(N)(Z)&gt;TMN(N)(Z)_275L1</v>
      </c>
      <c r="ST1" s="6" t="str">
        <v>MAG(N)(Z)&gt;TMN(N)(Z)_275L2</v>
      </c>
      <c r="SU1" s="6" t="str">
        <v>MAY(I)(Z)&gt;BLK(I)(Z)_110L1</v>
      </c>
      <c r="SV1" s="6" t="str">
        <v>MAY(I)(Z)&gt;GRI(I)(Z)_110L1</v>
      </c>
      <c r="SW1" s="6" t="str">
        <v>MAY(I)(Z)&gt;RNW(I)(Z)_110L1</v>
      </c>
      <c r="SX1" s="6" t="str">
        <v>MAY(I)(Z)&gt;RYB(I)(Z)_110L1</v>
      </c>
      <c r="SY1" s="6" t="str">
        <v>MAY(I)(Z)&gt;SH(I)(Z)_220L1</v>
      </c>
      <c r="SZ1" s="6" t="str">
        <v>MAY(I)(Z)&gt;TH(I)(Z)_220L1</v>
      </c>
      <c r="TA1" s="6" t="str">
        <v>MAY(I)(Z)&gt;WOO(I)(Z)_220L1</v>
      </c>
      <c r="TB1" s="6" t="str">
        <v>MCD(I)(Z)&gt;NQS(I)(Z)_110L1</v>
      </c>
      <c r="TC1" s="6" t="str">
        <v>MCD(I)(Z)&gt;WOL(I)(Z)_110L1</v>
      </c>
      <c r="TD1" s="6" t="str">
        <v>MHL(I)(Z)&gt;RE(I)(Z)_110L1</v>
      </c>
      <c r="TE1" s="6" t="str">
        <v>MHL(I)(Z)&gt;TRN(I)(Z)_110L1</v>
      </c>
      <c r="TF1" s="6" t="str">
        <v>MID(I)(Z)&gt;WHI(I)(Z)_110L1</v>
      </c>
      <c r="TG1" s="6" t="str">
        <v>MID(I)(Z)&gt;LGT(I)(Z)_110L1</v>
      </c>
      <c r="TH1" s="6" t="str">
        <v>MIL(I)(Z)&gt;RE(I)(Z)_110L1</v>
      </c>
      <c r="TI1" s="6" t="str">
        <v>MIL(I)(Z)&gt;RE(I)(Z)_110L2</v>
      </c>
      <c r="TJ1" s="6" t="str">
        <v>MKL(N)(Z)&gt;OMA(N)(Z)_110L1</v>
      </c>
      <c r="TK1" s="6" t="str">
        <v>MLC(I)(Z)&gt;TSB(I)(Z)_110L1</v>
      </c>
      <c r="TL1" s="6" t="str">
        <v>MNH(I)(Z)&gt;MTA(I)(Z)_110L1</v>
      </c>
      <c r="TM1" s="6" t="str">
        <v>MOY(I)(Z)&gt;TAW(I)(Z)_110L1</v>
      </c>
      <c r="TN1" s="6" t="str">
        <v>MOY(I)(Z)&gt;TAW(I)(Z)_110L2</v>
      </c>
      <c r="TO1" s="6" t="str">
        <v>MP(I)(Z)&gt;OST(I)(Z)_380L1</v>
      </c>
      <c r="TP1" s="6" t="str">
        <v>MP(I)(Z)&gt;PRO(I)(Z)_220L1</v>
      </c>
      <c r="TQ1" s="6" t="str">
        <v>MP(I)(Z)&gt;TBK(I)(T)_110L1</v>
      </c>
      <c r="TR1" s="6" t="str">
        <v>MR(I)(Z)&gt;TBG(I)(Z)_110L1</v>
      </c>
      <c r="TS1" s="6" t="str">
        <v>MR(I)(Z)&gt;TBG(I)(Z)_110L2</v>
      </c>
      <c r="TT1" s="6" t="str">
        <v>MTN(I)(Z)&gt;MUN(I)(Z)_110L1</v>
      </c>
      <c r="TU1" s="6" t="str">
        <v>MTN(I)(Z)&gt;MUN(I)(Z)_110L2</v>
      </c>
      <c r="TV1" s="6" t="str">
        <v>NEW(I)(Z)&gt;BLK(I)(Z)_110L1</v>
      </c>
      <c r="TW1" s="6" t="str">
        <v>NEW(I)(Z)&gt;PLS(I)(Z)_110L1</v>
      </c>
      <c r="TX1" s="6" t="str">
        <v>NEW(N)(Z)&gt;TAN(N)(Z)_110L1</v>
      </c>
      <c r="TY1" s="6" t="str">
        <v>NEW(N)(Z)&gt;TAN(N)(Z)_110L2</v>
      </c>
      <c r="TZ1" s="6" t="str">
        <v>NQS(I)(Z)&gt;RE(I)(Z)_110L1</v>
      </c>
      <c r="UA1" s="6" t="str">
        <v>NW(I)(Z)&gt;PB(I)(Z)_220L1</v>
      </c>
      <c r="UB1" s="6" t="str">
        <v>OMA(N)(Z)&gt;STR(N)(Z)_110L1</v>
      </c>
      <c r="UC1" s="6" t="str">
        <v>OMA(N)(Z)&gt;STR(N)(Z)_110L2</v>
      </c>
      <c r="UD1" s="6" t="str">
        <v>OMA(N)(Z)&gt;TRE(N)(Z)_110L1</v>
      </c>
      <c r="UE1" s="6" t="str">
        <v>ONH(I)(Z)&gt;MOY(I)(Z)_110L1</v>
      </c>
      <c r="UF1" t="str">
        <v>OST(I)(Z)&gt;TYN(I)(Z)_220L1</v>
      </c>
      <c r="UG1" t="str">
        <v>OST(I)(Z)&gt;WOO(I)(Z)_380L1</v>
      </c>
      <c r="UH1" t="str">
        <v>OUG(I)(Z)&gt;OUG(I)(T)_110L1</v>
      </c>
      <c r="UI1" t="str">
        <v>PA(I)(Z)&gt;STR(I)(T)_110L1</v>
      </c>
      <c r="UJ1" t="str">
        <v>PB(I)(Z)&gt;CKM(I)(Z)_220L1</v>
      </c>
      <c r="UK1" t="str">
        <v>PB(I)(Z)&gt;RE(I)(Z)_110L1</v>
      </c>
      <c r="UL1" t="str">
        <v>PB(I)(Z)&gt;RE(I)(Z)_110L2</v>
      </c>
      <c r="UM1" t="str">
        <v>PB(I)(Z)&gt;SHL(I)(Z)_220L1</v>
      </c>
      <c r="UN1" t="str">
        <v>PLA(I)(Z)&gt;OBE(I)(Z)_220L1</v>
      </c>
      <c r="UO1" t="str">
        <v>PPT(I)(Z)&gt;PLS(I)(Z)_110L1</v>
      </c>
      <c r="UP1" t="str">
        <v>PRO(I)(Z)&gt;TB(I)(Z)_220L1</v>
      </c>
      <c r="UQ1" t="str">
        <v>RAF(I)(Z)&gt;RSY(I)(Z)_110L1</v>
      </c>
      <c r="UR1" t="str">
        <v>RAF(I)(Z)&gt;TBG(I)(Z)_110L1</v>
      </c>
      <c r="US1" t="str">
        <v>RAF(I)(Z)&gt;TBG(I)(Z)_110L2</v>
      </c>
      <c r="UT1" t="str">
        <v>RE(I)(Z)&gt;WBK(I)(Z)_110L1</v>
      </c>
      <c r="UU1" t="str">
        <v>REM(I)(Z)&gt;TRL(I)(Z)_110L1</v>
      </c>
      <c r="UV1" t="str">
        <v>RNW(I)(Z)&gt;DFR(I)(T)_110L1</v>
      </c>
      <c r="UW1" t="str">
        <v>RRU(I)(Z)&gt;SKL(I)(Z)_110L1</v>
      </c>
      <c r="UX1" t="str">
        <v>SBH(I)(Z)&gt;MCE(I)(Z)_110L1</v>
      </c>
      <c r="UY1" t="str">
        <v>SH(I)(Z)&gt;DAL(I)(T)_110L1</v>
      </c>
      <c r="UZ1" t="str">
        <v>SH(I)(Z)&gt;IKE(I)(T)_110L1</v>
      </c>
      <c r="VA1" t="str">
        <v>SH(I)(Z)&gt;SOM(I)(T)_110L1</v>
      </c>
      <c r="VB1" t="str">
        <v>SLI(I)(Z)&gt;SRA(I)(Z)_110L1</v>
      </c>
      <c r="VC1" t="str">
        <v>SLI(I)(Z)&gt;SRA(I)(Z)_110L2</v>
      </c>
      <c r="VD1" t="str">
        <v>SOM(I)(Z)&gt;SOM(I)(T)_110L1</v>
      </c>
      <c r="VE1" t="str">
        <v>SOR(I)(Z)&gt;TLK(I)(Z)_110L1</v>
      </c>
      <c r="VF1" t="str">
        <v>STR(I)(Z)&gt;STR(I)(T)_110L1</v>
      </c>
      <c r="VG1" t="str">
        <v>TAN(N)(Z)&gt;TMN(N)(Z)_275L1</v>
      </c>
      <c r="VH1" t="str">
        <v>TAN(N)(Z)&gt;TMN(N)(Z)_275L2</v>
      </c>
      <c r="VI1" t="str">
        <v>TAN(N)(Z)&gt;WAR(N)(Z)_110L1</v>
      </c>
      <c r="VJ1" t="str">
        <v>TAN(N)(Z)&gt;WAR(N)(Z)_110L2</v>
      </c>
      <c r="VK1" t="str">
        <v>TBK(I)(Z)&gt;TBK(I)(T)_110L1</v>
      </c>
      <c r="VL1" t="str">
        <v>THU(I)(Z)&gt;IKE(I)(T)_110L1</v>
      </c>
      <c r="VM1" t="str">
        <v>TRE(N)(Z)&gt;TMN(N)(Z)_110L1</v>
      </c>
      <c r="VN1" t="str">
        <v>TRL(I)(Z)&gt;OUG(I)(T)_110L1</v>
      </c>
      <c r="VO1" t="str">
        <v>WOO(I)(Z)&gt;PRT(I)(Z)_380L1</v>
      </c>
    </row>
    <row r="2" spans="1:587" x14ac:dyDescent="0.3">
      <c r="A2" s="4" t="s">
        <v>34</v>
      </c>
      <c r="B2" s="6" t="str" cm="1">
        <f t="array" ref="B2:VO2">TRANSPOSE(_xlfn._xlws.FILTER(branch!$I$2:$I$591,branch!$D$2:$D$591&lt;&gt;0))</f>
        <v>99</v>
      </c>
      <c r="C2" s="6" t="str">
        <v>99</v>
      </c>
      <c r="D2" s="6" t="str">
        <v>178</v>
      </c>
      <c r="E2" s="6" t="str">
        <v>145</v>
      </c>
      <c r="F2" s="6" t="str">
        <v>536</v>
      </c>
      <c r="G2" s="6" t="str">
        <v>393</v>
      </c>
      <c r="H2" s="6" t="str">
        <v>393</v>
      </c>
      <c r="I2" s="6" t="str">
        <v>593</v>
      </c>
      <c r="J2" s="6" t="str">
        <v>434</v>
      </c>
      <c r="K2" s="6" t="str">
        <v>99</v>
      </c>
      <c r="L2" s="6" t="str">
        <v>140</v>
      </c>
      <c r="M2" s="6" t="str">
        <v>103</v>
      </c>
      <c r="N2" s="6" t="str">
        <v>109</v>
      </c>
      <c r="O2" s="6" t="str">
        <v>105</v>
      </c>
      <c r="P2" s="6" t="str">
        <v>99</v>
      </c>
      <c r="Q2" s="6">
        <v>187</v>
      </c>
      <c r="R2" s="6">
        <v>187</v>
      </c>
      <c r="S2" s="6">
        <v>187</v>
      </c>
      <c r="T2" s="6" t="str">
        <v>104</v>
      </c>
      <c r="U2" s="6" t="str">
        <v>112</v>
      </c>
      <c r="V2" s="6" t="str">
        <v>105</v>
      </c>
      <c r="W2" s="6" t="str">
        <v>82</v>
      </c>
      <c r="X2" s="6" t="str">
        <v>82</v>
      </c>
      <c r="Y2" s="6" t="str">
        <v>105</v>
      </c>
      <c r="Z2" s="6" t="str">
        <v>105</v>
      </c>
      <c r="AA2" s="6" t="str">
        <v>99</v>
      </c>
      <c r="AB2" s="6" t="str">
        <v>178</v>
      </c>
      <c r="AC2" s="6" t="str">
        <v>434</v>
      </c>
      <c r="AD2" s="6" t="str">
        <v>434</v>
      </c>
      <c r="AE2" s="6" t="str">
        <v>34</v>
      </c>
      <c r="AF2" s="6" t="str">
        <v>120</v>
      </c>
      <c r="AG2" s="6" t="str">
        <v>120</v>
      </c>
      <c r="AH2" s="6" t="str">
        <v>104</v>
      </c>
      <c r="AI2" s="6" t="str">
        <v>178</v>
      </c>
      <c r="AJ2" s="6" t="str">
        <v>178</v>
      </c>
      <c r="AK2" s="6" t="str">
        <v>178</v>
      </c>
      <c r="AL2" s="6" t="str">
        <v>178</v>
      </c>
      <c r="AM2" s="6" t="str">
        <v>120</v>
      </c>
      <c r="AN2" s="6" t="str">
        <v>178</v>
      </c>
      <c r="AO2" s="6" t="str">
        <v>99</v>
      </c>
      <c r="AP2" s="6" t="str">
        <v>178</v>
      </c>
      <c r="AQ2" s="6" t="str">
        <v>140</v>
      </c>
      <c r="AR2" s="6" t="str">
        <v>140</v>
      </c>
      <c r="AS2" s="6" t="str">
        <v>99</v>
      </c>
      <c r="AT2" s="6">
        <v>105</v>
      </c>
      <c r="AU2" s="6" t="str">
        <v>99</v>
      </c>
      <c r="AV2" s="6" t="str">
        <v>96</v>
      </c>
      <c r="AW2" s="6" t="str">
        <v>96</v>
      </c>
      <c r="AX2" s="6" t="str">
        <v>178</v>
      </c>
      <c r="AY2" s="6" t="str">
        <v>178</v>
      </c>
      <c r="AZ2" s="6" t="str">
        <v>120</v>
      </c>
      <c r="BA2" s="6" t="str">
        <v>120</v>
      </c>
      <c r="BB2" s="6" t="str">
        <v>178</v>
      </c>
      <c r="BC2" s="6" t="str">
        <v>178</v>
      </c>
      <c r="BD2" s="6">
        <v>178</v>
      </c>
      <c r="BE2" s="6" t="str">
        <v>105</v>
      </c>
      <c r="BF2" s="6" t="str">
        <v>99</v>
      </c>
      <c r="BG2" s="6" t="str">
        <v>99</v>
      </c>
      <c r="BH2" s="6" t="str">
        <v>99</v>
      </c>
      <c r="BI2" s="6" t="str">
        <v>82</v>
      </c>
      <c r="BJ2" s="6" t="str">
        <v>82</v>
      </c>
      <c r="BK2" s="6" t="str">
        <v>136</v>
      </c>
      <c r="BL2" s="6" t="str">
        <v>140</v>
      </c>
      <c r="BM2" s="6" t="str">
        <v>130</v>
      </c>
      <c r="BN2" s="6" t="str">
        <v>99</v>
      </c>
      <c r="BO2" s="6" t="str">
        <v>122</v>
      </c>
      <c r="BP2" s="13" t="str">
        <v>196</v>
      </c>
      <c r="BQ2" s="6" t="str">
        <v>178</v>
      </c>
      <c r="BR2" s="6" t="str">
        <v>136</v>
      </c>
      <c r="BS2" s="6" t="str">
        <v>178</v>
      </c>
      <c r="BT2" s="6">
        <v>124</v>
      </c>
      <c r="BU2" s="6" t="str">
        <v>178</v>
      </c>
      <c r="BV2" s="6" t="str">
        <v>178</v>
      </c>
      <c r="BW2" s="6" t="str">
        <v>178</v>
      </c>
      <c r="BX2" s="6" t="str">
        <v>99</v>
      </c>
      <c r="BY2" s="6" t="str">
        <v>136</v>
      </c>
      <c r="BZ2" s="6" t="str">
        <v>195</v>
      </c>
      <c r="CA2" s="6" t="str">
        <v>178</v>
      </c>
      <c r="CB2" s="6" t="str">
        <v>178</v>
      </c>
      <c r="CC2" s="6" t="str">
        <v>192</v>
      </c>
      <c r="CD2" s="6" t="str">
        <v>187</v>
      </c>
      <c r="CE2" s="6" t="str">
        <v>120</v>
      </c>
      <c r="CF2" s="6" t="str">
        <v>187</v>
      </c>
      <c r="CG2" s="6" t="str">
        <v>187</v>
      </c>
      <c r="CH2" s="6" t="str">
        <v>187</v>
      </c>
      <c r="CI2" s="6" t="str">
        <v>119</v>
      </c>
      <c r="CJ2" s="6" t="str">
        <v>119</v>
      </c>
      <c r="CK2" s="6" t="str">
        <v>570</v>
      </c>
      <c r="CL2" s="6">
        <v>570</v>
      </c>
      <c r="CM2" s="13" t="str">
        <v>140</v>
      </c>
      <c r="CN2" s="13" t="str">
        <v>140</v>
      </c>
      <c r="CO2" s="6">
        <v>842</v>
      </c>
      <c r="CP2" s="6" t="str">
        <v>105</v>
      </c>
      <c r="CQ2" s="6" t="str">
        <v>109</v>
      </c>
      <c r="CR2" s="6" t="str">
        <v>109</v>
      </c>
      <c r="CS2" s="6" t="str">
        <v>82</v>
      </c>
      <c r="CT2" s="6" t="str">
        <v>82</v>
      </c>
      <c r="CU2" s="6" t="str">
        <v>75</v>
      </c>
      <c r="CV2" s="6" t="str">
        <v>75</v>
      </c>
      <c r="CW2" s="6" t="str">
        <v>178</v>
      </c>
      <c r="CX2" s="6" t="str">
        <v>178</v>
      </c>
      <c r="CY2" s="6" t="str">
        <v>178</v>
      </c>
      <c r="CZ2" s="6" t="str">
        <v>178</v>
      </c>
      <c r="DA2" s="6" t="str">
        <v>82</v>
      </c>
      <c r="DB2" s="6" t="str">
        <v>82</v>
      </c>
      <c r="DC2" s="6" t="str">
        <v>710</v>
      </c>
      <c r="DD2" s="6" t="str">
        <v>69</v>
      </c>
      <c r="DE2" s="6" t="str">
        <v>70</v>
      </c>
      <c r="DF2" s="6" t="str">
        <v>710</v>
      </c>
      <c r="DG2" s="6" t="str">
        <v>710</v>
      </c>
      <c r="DH2" s="6" t="str">
        <v>710</v>
      </c>
      <c r="DI2" s="6" t="str">
        <v>144</v>
      </c>
      <c r="DJ2" s="6" t="str">
        <v>63</v>
      </c>
      <c r="DK2" s="6" t="str">
        <v>99</v>
      </c>
      <c r="DL2" s="6" t="str">
        <v>570</v>
      </c>
      <c r="DM2" s="6" t="str">
        <v>570</v>
      </c>
      <c r="DN2" s="6" t="str">
        <v>178</v>
      </c>
      <c r="DO2" s="6" t="str">
        <v>200</v>
      </c>
      <c r="DP2" s="6" t="str">
        <v>109</v>
      </c>
      <c r="DQ2" s="6" t="str">
        <v>109</v>
      </c>
      <c r="DR2" s="6" t="str">
        <v>79</v>
      </c>
      <c r="DS2" s="6" t="str">
        <v>79</v>
      </c>
      <c r="DT2" s="6" t="str">
        <v>434</v>
      </c>
      <c r="DU2" s="6" t="str">
        <v>740</v>
      </c>
      <c r="DV2" s="6" t="str">
        <v>228</v>
      </c>
      <c r="DW2" s="6" t="str">
        <v>115</v>
      </c>
      <c r="DX2" s="6" t="str">
        <v>195</v>
      </c>
      <c r="DY2" s="6" t="str">
        <v>124</v>
      </c>
      <c r="DZ2" s="6" t="str">
        <v>80</v>
      </c>
      <c r="EA2" s="6" t="str">
        <v>120</v>
      </c>
      <c r="EB2" s="6" t="str">
        <v>105</v>
      </c>
      <c r="EC2" s="6" t="str">
        <v>178</v>
      </c>
      <c r="ED2" s="6" t="str">
        <v>178</v>
      </c>
      <c r="EE2" s="6" t="str">
        <v>178</v>
      </c>
      <c r="EF2" s="6" t="str">
        <v>69</v>
      </c>
      <c r="EG2" s="6" t="str">
        <v>70</v>
      </c>
      <c r="EH2" s="6" t="str">
        <v>69</v>
      </c>
      <c r="EI2" s="6" t="str">
        <v>69</v>
      </c>
      <c r="EJ2" s="6" t="str">
        <v>132</v>
      </c>
      <c r="EK2" s="6" t="str">
        <v>132</v>
      </c>
      <c r="EL2" s="6" t="str">
        <v>710</v>
      </c>
      <c r="EM2" s="6" t="str">
        <v>710</v>
      </c>
      <c r="EN2" s="13" t="str">
        <v>66</v>
      </c>
      <c r="EO2" s="6" t="str">
        <v>66</v>
      </c>
      <c r="EP2" s="6" t="str">
        <v>710</v>
      </c>
      <c r="EQ2" s="6" t="str">
        <v>109</v>
      </c>
      <c r="ER2" s="6" t="str">
        <v>109</v>
      </c>
      <c r="ES2" s="6" t="str">
        <v>82</v>
      </c>
      <c r="ET2" s="6" t="str">
        <v>82</v>
      </c>
      <c r="EU2" s="6" t="str">
        <v>144</v>
      </c>
      <c r="EV2" s="6" t="str">
        <v>144</v>
      </c>
      <c r="EW2" s="6" t="str">
        <v>710</v>
      </c>
      <c r="EX2" s="6" t="str">
        <v>178</v>
      </c>
      <c r="EY2" s="6" t="str">
        <v>124</v>
      </c>
      <c r="EZ2" s="6" t="str">
        <v>99</v>
      </c>
      <c r="FA2" s="6" t="str">
        <v>99</v>
      </c>
      <c r="FB2" s="6" t="str">
        <v>99</v>
      </c>
      <c r="FC2" s="13" t="str">
        <v>761</v>
      </c>
      <c r="FD2" s="13">
        <v>187</v>
      </c>
      <c r="FE2" s="6" t="str">
        <v>761</v>
      </c>
      <c r="FF2" s="6" t="str">
        <v>761</v>
      </c>
      <c r="FG2" s="6" t="str">
        <v>761</v>
      </c>
      <c r="FH2" s="6" t="str">
        <v>178</v>
      </c>
      <c r="FI2" s="6" t="str">
        <v>178</v>
      </c>
      <c r="FJ2" s="6" t="str">
        <v>115</v>
      </c>
      <c r="FK2" s="6" t="str">
        <v>434</v>
      </c>
      <c r="FL2" s="6" t="str">
        <v>434</v>
      </c>
      <c r="FM2" s="6" t="str">
        <v>555</v>
      </c>
      <c r="FN2" s="6">
        <v>123</v>
      </c>
      <c r="FO2" s="6">
        <v>178</v>
      </c>
      <c r="FP2" s="6">
        <v>130</v>
      </c>
      <c r="FQ2" s="6" t="str">
        <v>178</v>
      </c>
      <c r="FR2" s="6" t="str">
        <v>103</v>
      </c>
      <c r="FS2" s="6" t="str">
        <v>238</v>
      </c>
      <c r="FT2" s="6" t="str">
        <v>434</v>
      </c>
      <c r="FU2" s="6" t="str">
        <v>178</v>
      </c>
      <c r="FV2" s="6" t="str">
        <v>132</v>
      </c>
      <c r="FW2" s="6" t="str">
        <v>178</v>
      </c>
      <c r="FX2" s="6" t="str">
        <v>144</v>
      </c>
      <c r="FY2" s="6" t="str">
        <v>144</v>
      </c>
      <c r="FZ2" s="6" t="str">
        <v>140</v>
      </c>
      <c r="GA2" s="6" t="str">
        <v>140</v>
      </c>
      <c r="GB2" s="6" t="str">
        <v>136</v>
      </c>
      <c r="GC2" s="6" t="str">
        <v>178</v>
      </c>
      <c r="GD2" s="6" t="str">
        <v>178</v>
      </c>
      <c r="GE2" s="6" t="str">
        <v>178</v>
      </c>
      <c r="GF2" s="6" t="str">
        <v>196</v>
      </c>
      <c r="GG2" s="6" t="str">
        <v>178</v>
      </c>
      <c r="GH2" s="6">
        <v>178</v>
      </c>
      <c r="GI2" s="6">
        <v>178</v>
      </c>
      <c r="GJ2" s="6" t="str">
        <v>130</v>
      </c>
      <c r="GK2" s="6" t="str">
        <v>99</v>
      </c>
      <c r="GL2" s="6" t="str">
        <v>136</v>
      </c>
      <c r="GM2" s="6" t="str">
        <v>178</v>
      </c>
      <c r="GN2" s="6" t="str">
        <v>105</v>
      </c>
      <c r="GO2" s="6" t="str">
        <v>187</v>
      </c>
      <c r="GP2" s="6" t="str">
        <v>187</v>
      </c>
      <c r="GQ2" s="6" t="str">
        <v>187</v>
      </c>
      <c r="GR2" s="6" t="str">
        <v>105</v>
      </c>
      <c r="GS2" s="6" t="str">
        <v>130</v>
      </c>
      <c r="GT2" s="6" t="str">
        <v>434</v>
      </c>
      <c r="GU2" s="6" t="str">
        <v>105</v>
      </c>
      <c r="GV2" s="6" t="str">
        <v>105</v>
      </c>
      <c r="GW2" s="6" t="str">
        <v>593</v>
      </c>
      <c r="GX2" s="6" t="str">
        <v>119</v>
      </c>
      <c r="GY2" s="6" t="str">
        <v>178</v>
      </c>
      <c r="GZ2" s="6" t="str">
        <v>120</v>
      </c>
      <c r="HA2" s="6" t="str">
        <v>178</v>
      </c>
      <c r="HB2" s="6" t="str">
        <v>178</v>
      </c>
      <c r="HC2" s="6" t="str">
        <v>178</v>
      </c>
      <c r="HD2" s="6" t="str">
        <v>646</v>
      </c>
      <c r="HE2" s="6" t="str">
        <v>161</v>
      </c>
      <c r="HF2" s="6" t="str">
        <v>161</v>
      </c>
      <c r="HG2" s="6" t="str">
        <v>434</v>
      </c>
      <c r="HH2" s="6" t="str">
        <v>434</v>
      </c>
      <c r="HI2" s="6" t="str">
        <v>187</v>
      </c>
      <c r="HJ2" s="6" t="str">
        <v>124</v>
      </c>
      <c r="HK2" s="6" t="str">
        <v>99</v>
      </c>
      <c r="HL2" s="6" t="str">
        <v>105</v>
      </c>
      <c r="HM2" s="6" t="str">
        <v>63</v>
      </c>
      <c r="HN2" s="6" t="str">
        <v>178</v>
      </c>
      <c r="HO2" s="6" t="str">
        <v>187</v>
      </c>
      <c r="HP2" s="6" t="str">
        <v>136</v>
      </c>
      <c r="HQ2" s="6">
        <v>187</v>
      </c>
      <c r="HR2" s="6">
        <v>187</v>
      </c>
      <c r="HS2" s="6" t="str">
        <v>99</v>
      </c>
      <c r="HT2" s="6" t="str">
        <v>99</v>
      </c>
      <c r="HU2" s="6" t="str">
        <v>105</v>
      </c>
      <c r="HV2" s="6">
        <v>178</v>
      </c>
      <c r="HW2" s="6">
        <v>178</v>
      </c>
      <c r="HX2" s="6">
        <v>1577</v>
      </c>
      <c r="HY2" s="6">
        <v>1577</v>
      </c>
      <c r="HZ2" s="6" t="str">
        <v>143</v>
      </c>
      <c r="IA2" s="6" t="str">
        <v>104</v>
      </c>
      <c r="IB2" s="6" t="str">
        <v>82</v>
      </c>
      <c r="IC2" s="6" t="str">
        <v>82</v>
      </c>
      <c r="ID2" s="6" t="str">
        <v>82</v>
      </c>
      <c r="IE2" s="6" t="str">
        <v>82</v>
      </c>
      <c r="IF2" s="6" t="str">
        <v>186</v>
      </c>
      <c r="IG2" s="6" t="str">
        <v>124</v>
      </c>
      <c r="IH2" s="6" t="str">
        <v>136</v>
      </c>
      <c r="II2" s="6" t="str">
        <v>99</v>
      </c>
      <c r="IJ2" s="6" t="str">
        <v>178</v>
      </c>
      <c r="IK2" s="6" t="str">
        <v>178</v>
      </c>
      <c r="IL2" s="6" t="str">
        <v>99</v>
      </c>
      <c r="IM2" s="6" t="str">
        <v>99</v>
      </c>
      <c r="IN2" s="6" t="str">
        <v>105</v>
      </c>
      <c r="IO2" s="6" t="str">
        <v>105</v>
      </c>
      <c r="IP2" s="6" t="str">
        <v>99</v>
      </c>
      <c r="IQ2" s="6" t="str">
        <v>99</v>
      </c>
      <c r="IR2" s="6" t="str">
        <v>100</v>
      </c>
      <c r="IS2" s="6" t="str">
        <v>100</v>
      </c>
      <c r="IT2" s="6">
        <v>200</v>
      </c>
      <c r="IU2" s="6" t="str">
        <v>143</v>
      </c>
      <c r="IV2" s="6" t="str">
        <v>82</v>
      </c>
      <c r="IW2" s="6" t="str">
        <v>82</v>
      </c>
      <c r="IX2" s="6" t="str">
        <v>82</v>
      </c>
      <c r="IY2" s="6" t="str">
        <v>412</v>
      </c>
      <c r="IZ2" s="6" t="str">
        <v>412</v>
      </c>
      <c r="JA2" s="6" t="str">
        <v>82</v>
      </c>
      <c r="JB2" s="6" t="str">
        <v>82</v>
      </c>
      <c r="JC2" s="6" t="str">
        <v>109</v>
      </c>
      <c r="JD2" s="6" t="str">
        <v>178</v>
      </c>
      <c r="JE2" s="6" t="str">
        <v>99</v>
      </c>
      <c r="JF2" s="6" t="str">
        <v>82</v>
      </c>
      <c r="JG2" s="6" t="str">
        <v>109</v>
      </c>
      <c r="JH2" s="6" t="str">
        <v>140</v>
      </c>
      <c r="JI2" s="6" t="str">
        <v>140</v>
      </c>
      <c r="JJ2" s="6" t="str">
        <v>196</v>
      </c>
      <c r="JK2" s="6" t="str">
        <v>178</v>
      </c>
      <c r="JL2" s="6" t="str">
        <v>178</v>
      </c>
      <c r="JM2" s="6" t="str">
        <v>99</v>
      </c>
      <c r="JN2" s="6" t="str">
        <v>178</v>
      </c>
      <c r="JO2" s="6" t="str">
        <v>350</v>
      </c>
      <c r="JP2" s="6" t="str">
        <v>99</v>
      </c>
      <c r="JQ2" s="6" t="str">
        <v>99</v>
      </c>
      <c r="JR2" s="6" t="str">
        <v>99</v>
      </c>
      <c r="JS2" s="6" t="str">
        <v>392</v>
      </c>
      <c r="JT2" s="6" t="str">
        <v>97</v>
      </c>
      <c r="JU2" s="6" t="str">
        <v>99</v>
      </c>
      <c r="JV2" s="6" t="str">
        <v>761</v>
      </c>
      <c r="JW2" s="13" t="str">
        <v>178</v>
      </c>
      <c r="JX2" s="13" t="str">
        <v>124</v>
      </c>
      <c r="JY2" s="6" t="str">
        <v>103</v>
      </c>
      <c r="JZ2" s="6" t="str">
        <v>178</v>
      </c>
      <c r="KA2" s="6" t="str">
        <v>746</v>
      </c>
      <c r="KB2" s="6" t="str">
        <v>646</v>
      </c>
      <c r="KC2" s="6" t="str">
        <v>178</v>
      </c>
      <c r="KD2" s="6">
        <v>178</v>
      </c>
      <c r="KE2" s="6" t="str">
        <v>178</v>
      </c>
      <c r="KF2" s="6" t="str">
        <v>178</v>
      </c>
      <c r="KG2" s="6" t="str">
        <v>190</v>
      </c>
      <c r="KH2" s="6" t="str">
        <v>105</v>
      </c>
      <c r="KI2" s="6" t="str">
        <v>136</v>
      </c>
      <c r="KJ2" s="6" t="str">
        <v>134</v>
      </c>
      <c r="KK2" s="6" t="str">
        <v>136</v>
      </c>
      <c r="KL2" s="6">
        <v>136</v>
      </c>
      <c r="KM2" s="6" t="str">
        <v>99</v>
      </c>
      <c r="KN2" s="6" t="str">
        <v>105</v>
      </c>
      <c r="KO2" s="6" t="str">
        <v>99</v>
      </c>
      <c r="KP2" s="6" t="str">
        <v>105</v>
      </c>
      <c r="KQ2" s="6" t="str">
        <v>99</v>
      </c>
      <c r="KR2" s="6" t="str">
        <v>99</v>
      </c>
      <c r="KS2" s="6" t="str">
        <v>99</v>
      </c>
      <c r="KT2" s="6" t="str">
        <v>74</v>
      </c>
      <c r="KU2" s="6" t="str">
        <v>74</v>
      </c>
      <c r="KV2" s="6" t="str">
        <v>99</v>
      </c>
      <c r="KW2" s="6" t="str">
        <v>178</v>
      </c>
      <c r="KX2" s="6" t="str">
        <v>178</v>
      </c>
      <c r="KY2" s="6">
        <v>99</v>
      </c>
      <c r="KZ2" s="6">
        <v>104</v>
      </c>
      <c r="LA2" s="6" t="str">
        <v>178</v>
      </c>
      <c r="LB2" s="6">
        <v>178</v>
      </c>
      <c r="LC2" s="6" t="str">
        <v>211</v>
      </c>
      <c r="LD2" s="6" t="str">
        <v>196</v>
      </c>
      <c r="LE2" s="6" t="str">
        <v>69</v>
      </c>
      <c r="LF2" s="6" t="str">
        <v>69</v>
      </c>
      <c r="LG2" s="6" t="str">
        <v>144</v>
      </c>
      <c r="LH2" s="6" t="str">
        <v>144</v>
      </c>
      <c r="LI2" s="6" t="str">
        <v>103</v>
      </c>
      <c r="LJ2" s="6" t="str">
        <v>99</v>
      </c>
      <c r="LK2" s="6" t="str">
        <v>99</v>
      </c>
      <c r="LL2" s="6" t="str">
        <v>82</v>
      </c>
      <c r="LM2" s="6" t="str">
        <v>82</v>
      </c>
      <c r="LN2" s="6" t="str">
        <v>82</v>
      </c>
      <c r="LO2" s="6" t="str">
        <v>82</v>
      </c>
      <c r="LP2" s="6" t="str">
        <v>82</v>
      </c>
      <c r="LQ2" s="6" t="str">
        <v>99</v>
      </c>
      <c r="LR2" s="6" t="str">
        <v>79</v>
      </c>
      <c r="LS2" s="6" t="str">
        <v>79</v>
      </c>
      <c r="LT2" s="6" t="str">
        <v>108</v>
      </c>
      <c r="LU2" s="6" t="str">
        <v>109</v>
      </c>
      <c r="LV2" s="6" t="str">
        <v>109</v>
      </c>
      <c r="LW2" s="6" t="str">
        <v>99</v>
      </c>
      <c r="LX2" s="6" t="str">
        <v>99</v>
      </c>
      <c r="LY2" s="6" t="str">
        <v>99</v>
      </c>
      <c r="LZ2" s="6">
        <v>178</v>
      </c>
      <c r="MA2" s="6" t="str">
        <v>393</v>
      </c>
      <c r="MB2" s="6" t="str">
        <v>350</v>
      </c>
      <c r="MC2" s="6" t="str">
        <v>350</v>
      </c>
      <c r="MD2" s="6" t="str">
        <v>434</v>
      </c>
      <c r="ME2" s="6">
        <v>1283</v>
      </c>
      <c r="MF2" s="6" t="str">
        <v>351</v>
      </c>
      <c r="MG2" s="6" t="str">
        <v>140</v>
      </c>
      <c r="MH2" s="6" t="str">
        <v>140</v>
      </c>
      <c r="MI2" s="6" t="str">
        <v>140</v>
      </c>
      <c r="MJ2" s="6" t="str">
        <v>186</v>
      </c>
      <c r="MK2" s="6" t="str">
        <v>157</v>
      </c>
      <c r="ML2" s="6" t="str">
        <v>144</v>
      </c>
      <c r="MM2" s="6" t="str">
        <v>186</v>
      </c>
      <c r="MN2" s="6" t="str">
        <v>195</v>
      </c>
      <c r="MO2" s="6" t="str">
        <v>105</v>
      </c>
      <c r="MP2" s="6" t="str">
        <v>119</v>
      </c>
      <c r="MQ2" s="6" t="str">
        <v>593</v>
      </c>
      <c r="MR2" s="6" t="str">
        <v>119</v>
      </c>
      <c r="MS2" s="6" t="str">
        <v>332</v>
      </c>
      <c r="MT2" s="6" t="str">
        <v>120</v>
      </c>
      <c r="MU2" s="13" t="str">
        <v>80</v>
      </c>
      <c r="MV2" s="6" t="str">
        <v>536</v>
      </c>
      <c r="MW2" s="6" t="str">
        <v>105</v>
      </c>
      <c r="MX2" s="13" t="str">
        <v>144</v>
      </c>
      <c r="MY2" s="13" t="str">
        <v>144</v>
      </c>
      <c r="MZ2" s="6" t="str">
        <v>105</v>
      </c>
      <c r="NA2" s="6" t="str">
        <v>384</v>
      </c>
      <c r="NB2" s="6" t="str">
        <v>99</v>
      </c>
      <c r="NC2" s="6" t="str">
        <v>99</v>
      </c>
      <c r="ND2" s="6" t="str">
        <v>434</v>
      </c>
      <c r="NE2" s="6" t="str">
        <v>98</v>
      </c>
      <c r="NF2" s="6" t="str">
        <v>107</v>
      </c>
      <c r="NG2" s="6" t="str">
        <v>140</v>
      </c>
      <c r="NH2" s="6" t="str">
        <v>107</v>
      </c>
      <c r="NI2" s="6" t="str">
        <v>140</v>
      </c>
      <c r="NJ2" s="6" t="str">
        <v>99</v>
      </c>
      <c r="NK2" s="13" t="str">
        <v>99</v>
      </c>
      <c r="NL2" s="13">
        <v>178</v>
      </c>
      <c r="NM2" s="6" t="str">
        <v>103</v>
      </c>
      <c r="NN2" s="6" t="str">
        <v>103</v>
      </c>
      <c r="NO2" s="6" t="str">
        <v>103</v>
      </c>
      <c r="NP2" s="6" t="str">
        <v>120</v>
      </c>
      <c r="NQ2" s="6" t="str">
        <v>120</v>
      </c>
      <c r="NR2" s="6" t="str">
        <v>570</v>
      </c>
      <c r="NS2" s="6" t="str">
        <v>99</v>
      </c>
      <c r="NT2" s="6" t="str">
        <v>393</v>
      </c>
      <c r="NU2" s="6" t="str">
        <v>434</v>
      </c>
      <c r="NV2" s="6">
        <v>593</v>
      </c>
      <c r="NW2" s="6" t="str">
        <v>178</v>
      </c>
      <c r="NX2" s="6" t="str">
        <v>178</v>
      </c>
      <c r="NY2" s="6" t="str">
        <v>178</v>
      </c>
      <c r="NZ2" s="6" t="str">
        <v>178</v>
      </c>
      <c r="OA2" s="6" t="str">
        <v>136</v>
      </c>
      <c r="OB2" s="6" t="str">
        <v>122</v>
      </c>
      <c r="OC2" s="6" t="str">
        <v>82</v>
      </c>
      <c r="OD2" s="6" t="str">
        <v>82</v>
      </c>
      <c r="OE2" s="6" t="str">
        <v>105</v>
      </c>
      <c r="OF2" s="6" t="str">
        <v>434</v>
      </c>
      <c r="OG2" s="6" t="str">
        <v>350</v>
      </c>
      <c r="OH2" s="6" t="str">
        <v>99</v>
      </c>
      <c r="OI2" s="6" t="str">
        <v>99</v>
      </c>
      <c r="OJ2" s="6" t="str">
        <v>99</v>
      </c>
      <c r="OK2" s="6" t="str">
        <v>99</v>
      </c>
      <c r="OL2" s="6" t="str">
        <v>99</v>
      </c>
      <c r="OM2" s="6" t="str">
        <v>99</v>
      </c>
      <c r="ON2" s="6" t="str">
        <v>200</v>
      </c>
      <c r="OO2" s="6" t="str">
        <v>200</v>
      </c>
      <c r="OP2" s="6" t="str">
        <v>119</v>
      </c>
      <c r="OQ2" s="6" t="str">
        <v>105</v>
      </c>
      <c r="OR2" s="6" t="str">
        <v>105</v>
      </c>
      <c r="OS2" s="6" t="str">
        <v>195</v>
      </c>
      <c r="OT2" s="6" t="str">
        <v>710</v>
      </c>
      <c r="OU2" s="6" t="str">
        <v>82</v>
      </c>
      <c r="OV2" s="6" t="str">
        <v>80</v>
      </c>
      <c r="OW2" s="6" t="str">
        <v>107</v>
      </c>
      <c r="OX2" s="6" t="str">
        <v>140</v>
      </c>
      <c r="OY2" s="6">
        <v>136</v>
      </c>
      <c r="OZ2" s="6">
        <v>136</v>
      </c>
      <c r="PA2" s="6">
        <v>104</v>
      </c>
      <c r="PB2" s="6" t="str">
        <v>196</v>
      </c>
      <c r="PC2" s="6" t="str">
        <v>80</v>
      </c>
      <c r="PD2" s="6" t="str">
        <v>562</v>
      </c>
      <c r="PE2" s="6" t="str">
        <v>120</v>
      </c>
      <c r="PF2" s="6" t="str">
        <v>267</v>
      </c>
      <c r="PG2" s="6" t="str">
        <v>351</v>
      </c>
      <c r="PH2" s="6" t="str">
        <v>593</v>
      </c>
      <c r="PI2" s="6" t="str">
        <v>178</v>
      </c>
      <c r="PJ2" s="6" t="str">
        <v>99</v>
      </c>
      <c r="PK2" s="6" t="str">
        <v>134</v>
      </c>
      <c r="PL2" s="6" t="str">
        <v>103</v>
      </c>
      <c r="PM2" s="6" t="str">
        <v>103</v>
      </c>
      <c r="PN2" s="6" t="str">
        <v>710</v>
      </c>
      <c r="PO2" s="6" t="str">
        <v>710</v>
      </c>
      <c r="PP2" s="6" t="str">
        <v>710</v>
      </c>
      <c r="PQ2" s="6" t="str">
        <v>185</v>
      </c>
      <c r="PR2" s="6" t="str">
        <v>178</v>
      </c>
      <c r="PS2" s="6" t="str">
        <v>99</v>
      </c>
      <c r="PT2" s="6" t="str">
        <v>178</v>
      </c>
      <c r="PU2" s="6" t="str">
        <v>178</v>
      </c>
      <c r="PV2" s="6" t="str">
        <v>119</v>
      </c>
      <c r="PW2" s="6" t="str">
        <v>120</v>
      </c>
      <c r="PX2" s="6" t="str">
        <v>136</v>
      </c>
      <c r="PY2" s="6" t="str">
        <v>434</v>
      </c>
      <c r="PZ2" s="6" t="str">
        <v>512</v>
      </c>
      <c r="QA2" s="6" t="str">
        <v>99</v>
      </c>
      <c r="QB2" s="6" t="str">
        <v>80</v>
      </c>
      <c r="QC2" s="6" t="str">
        <v>269</v>
      </c>
      <c r="QD2" s="6" t="str">
        <v>178</v>
      </c>
      <c r="QE2" s="6" t="str">
        <v>140</v>
      </c>
      <c r="QF2" s="6" t="str">
        <v>136</v>
      </c>
      <c r="QG2" s="6" t="str">
        <v>731</v>
      </c>
      <c r="QH2" s="6" t="str">
        <v>731</v>
      </c>
      <c r="QI2" s="6" t="str">
        <v>660</v>
      </c>
      <c r="QJ2" s="6" t="str">
        <v>660</v>
      </c>
      <c r="QK2" s="6" t="str">
        <v>136</v>
      </c>
      <c r="QL2" s="6" t="str">
        <v>99</v>
      </c>
      <c r="QM2" s="6" t="str">
        <v>99</v>
      </c>
      <c r="QN2" s="6" t="str">
        <v>350</v>
      </c>
      <c r="QO2" s="6" t="str">
        <v>350</v>
      </c>
      <c r="QP2" s="6" t="str">
        <v>99</v>
      </c>
      <c r="QQ2" s="6" t="str">
        <v>178</v>
      </c>
      <c r="QR2" s="6" t="str">
        <v>99</v>
      </c>
      <c r="QS2" s="6" t="str">
        <v>109</v>
      </c>
      <c r="QT2" s="6" t="str">
        <v>143</v>
      </c>
      <c r="QU2" s="6" t="str">
        <v>434</v>
      </c>
      <c r="QV2" s="6" t="str">
        <v>178</v>
      </c>
      <c r="QW2" s="13" t="str">
        <v>99</v>
      </c>
      <c r="QX2" s="13" t="str">
        <v>140</v>
      </c>
      <c r="QY2" s="6" t="str">
        <v>190</v>
      </c>
      <c r="QZ2" s="6" t="str">
        <v>195</v>
      </c>
      <c r="RA2" s="6" t="str">
        <v>135</v>
      </c>
      <c r="RB2" s="6" t="str">
        <v>195</v>
      </c>
      <c r="RC2" s="6" t="str">
        <v>710</v>
      </c>
      <c r="RD2" s="13" t="str">
        <v>136</v>
      </c>
      <c r="RE2" s="13">
        <v>105</v>
      </c>
      <c r="RF2" s="6" t="str">
        <v>124</v>
      </c>
      <c r="RG2" s="13" t="str">
        <v>99</v>
      </c>
      <c r="RH2" s="6" t="str">
        <v>353</v>
      </c>
      <c r="RI2" s="6" t="str">
        <v>178</v>
      </c>
      <c r="RJ2" s="6" t="str">
        <v>99</v>
      </c>
      <c r="RK2" s="6" t="str">
        <v>136</v>
      </c>
      <c r="RL2" s="6" t="str">
        <v>99</v>
      </c>
      <c r="RM2" s="6" t="str">
        <v>187</v>
      </c>
      <c r="RN2" s="6" t="str">
        <v>99</v>
      </c>
      <c r="RO2" s="6">
        <v>761</v>
      </c>
      <c r="RP2" s="6">
        <v>761</v>
      </c>
      <c r="RQ2" s="6" t="str">
        <v>99</v>
      </c>
      <c r="RR2" s="6" t="str">
        <v>99</v>
      </c>
      <c r="RS2" s="6" t="str">
        <v>99</v>
      </c>
      <c r="RT2" s="6" t="str">
        <v>99</v>
      </c>
      <c r="RU2" s="6">
        <v>136</v>
      </c>
      <c r="RV2" s="6">
        <v>124</v>
      </c>
      <c r="RW2" s="6" t="str">
        <v>99</v>
      </c>
      <c r="RX2" s="6" t="str">
        <v>99</v>
      </c>
      <c r="RY2" s="6" t="str">
        <v>136</v>
      </c>
      <c r="RZ2" s="6" t="str">
        <v>105</v>
      </c>
      <c r="SA2" s="6">
        <v>136</v>
      </c>
      <c r="SB2" s="6" t="str">
        <v>100</v>
      </c>
      <c r="SC2" s="6" t="str">
        <v>99</v>
      </c>
      <c r="SD2" s="6" t="str">
        <v>178</v>
      </c>
      <c r="SE2" s="6" t="str">
        <v>99</v>
      </c>
      <c r="SF2" s="6" t="str">
        <v>99</v>
      </c>
      <c r="SG2" s="6" t="str">
        <v>99</v>
      </c>
      <c r="SH2" s="6" t="str">
        <v>99</v>
      </c>
      <c r="SI2" s="6" t="str">
        <v>82</v>
      </c>
      <c r="SJ2" s="6" t="str">
        <v>80</v>
      </c>
      <c r="SK2" s="6" t="str">
        <v>99</v>
      </c>
      <c r="SL2" s="6" t="str">
        <v>99</v>
      </c>
      <c r="SM2" s="6" t="str">
        <v>95</v>
      </c>
      <c r="SN2" s="6" t="str">
        <v>710</v>
      </c>
      <c r="SO2" s="6" t="str">
        <v>710</v>
      </c>
      <c r="SP2" s="6" t="str">
        <v>350</v>
      </c>
      <c r="SQ2" s="6">
        <v>120</v>
      </c>
      <c r="SR2" s="6" t="str">
        <v>104</v>
      </c>
      <c r="SS2" s="6" t="str">
        <v>710</v>
      </c>
      <c r="ST2" s="6" t="str">
        <v>710</v>
      </c>
      <c r="SU2" s="6" t="str">
        <v>99</v>
      </c>
      <c r="SV2" s="6" t="str">
        <v>99</v>
      </c>
      <c r="SW2" s="6" t="str">
        <v>80</v>
      </c>
      <c r="SX2" s="6" t="str">
        <v>178</v>
      </c>
      <c r="SY2" s="6" t="str">
        <v>269</v>
      </c>
      <c r="SZ2" s="6" t="str">
        <v>325</v>
      </c>
      <c r="TA2" s="6" t="str">
        <v>350</v>
      </c>
      <c r="TB2" s="6" t="str">
        <v>119</v>
      </c>
      <c r="TC2" s="6" t="str">
        <v>120</v>
      </c>
      <c r="TD2" s="6" t="str">
        <v>140</v>
      </c>
      <c r="TE2" s="6" t="str">
        <v>140</v>
      </c>
      <c r="TF2" s="6" t="str">
        <v>99</v>
      </c>
      <c r="TG2" s="6">
        <v>105</v>
      </c>
      <c r="TH2" s="6" t="str">
        <v>100</v>
      </c>
      <c r="TI2" s="6" t="str">
        <v>120</v>
      </c>
      <c r="TJ2" s="6" t="str">
        <v>139</v>
      </c>
      <c r="TK2" s="6" t="str">
        <v>135</v>
      </c>
      <c r="TL2" s="6">
        <v>190</v>
      </c>
      <c r="TM2" s="6" t="str">
        <v>99</v>
      </c>
      <c r="TN2" s="6" t="str">
        <v>99</v>
      </c>
      <c r="TO2" s="6">
        <v>1283</v>
      </c>
      <c r="TP2" s="6" t="str">
        <v>537</v>
      </c>
      <c r="TQ2" s="6" t="str">
        <v>178</v>
      </c>
      <c r="TR2" s="6" t="str">
        <v>178</v>
      </c>
      <c r="TS2" s="6" t="str">
        <v>178</v>
      </c>
      <c r="TT2" s="6" t="str">
        <v>105</v>
      </c>
      <c r="TU2" s="6" t="str">
        <v>105</v>
      </c>
      <c r="TV2" s="6" t="str">
        <v>136</v>
      </c>
      <c r="TW2" s="6" t="str">
        <v>105</v>
      </c>
      <c r="TX2" s="6" t="str">
        <v>82</v>
      </c>
      <c r="TY2" s="6" t="str">
        <v>82</v>
      </c>
      <c r="TZ2" s="6" t="str">
        <v>119</v>
      </c>
      <c r="UA2" s="6" t="str">
        <v>332</v>
      </c>
      <c r="UB2" s="6" t="str">
        <v>109</v>
      </c>
      <c r="UC2" s="6" t="str">
        <v>82</v>
      </c>
      <c r="UD2" s="6" t="str">
        <v>186</v>
      </c>
      <c r="UE2" s="6" t="str">
        <v>105</v>
      </c>
      <c r="UF2" t="str">
        <v>434</v>
      </c>
      <c r="UG2">
        <v>1577</v>
      </c>
      <c r="UH2" t="str">
        <v>105</v>
      </c>
      <c r="UI2" t="str">
        <v>105</v>
      </c>
      <c r="UJ2" t="str">
        <v>267</v>
      </c>
      <c r="UK2" t="str">
        <v>269</v>
      </c>
      <c r="UL2" t="str">
        <v>269</v>
      </c>
      <c r="UM2" t="str">
        <v>593</v>
      </c>
      <c r="UN2">
        <v>178</v>
      </c>
      <c r="UO2">
        <v>136</v>
      </c>
      <c r="UP2" t="str">
        <v>467</v>
      </c>
      <c r="UQ2" t="str">
        <v>63</v>
      </c>
      <c r="UR2" t="str">
        <v>195</v>
      </c>
      <c r="US2" t="str">
        <v>178</v>
      </c>
      <c r="UT2" t="str">
        <v>125</v>
      </c>
      <c r="UU2" t="str">
        <v>125</v>
      </c>
      <c r="UV2" t="str">
        <v>99</v>
      </c>
      <c r="UW2" t="str">
        <v>95</v>
      </c>
      <c r="UX2" t="str">
        <v>99</v>
      </c>
      <c r="UY2" t="str">
        <v>178</v>
      </c>
      <c r="UZ2" t="str">
        <v>178</v>
      </c>
      <c r="VA2" t="str">
        <v>105</v>
      </c>
      <c r="VB2" t="str">
        <v>99</v>
      </c>
      <c r="VC2" t="str">
        <v>99</v>
      </c>
      <c r="VD2" t="str">
        <v>105</v>
      </c>
      <c r="VE2" t="str">
        <v>105</v>
      </c>
      <c r="VF2" t="str">
        <v>105</v>
      </c>
      <c r="VG2" t="str">
        <v>710</v>
      </c>
      <c r="VH2" t="str">
        <v>710</v>
      </c>
      <c r="VI2" t="str">
        <v>79</v>
      </c>
      <c r="VJ2" t="str">
        <v>79</v>
      </c>
      <c r="VK2" t="str">
        <v>105</v>
      </c>
      <c r="VL2" t="str">
        <v>178</v>
      </c>
      <c r="VM2" t="str">
        <v>186</v>
      </c>
      <c r="VN2" t="str">
        <v>178</v>
      </c>
      <c r="VO2" t="str">
        <v>685</v>
      </c>
    </row>
  </sheetData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J185"/>
  <sheetViews>
    <sheetView topLeftCell="D159" zoomScale="85" zoomScaleNormal="85" workbookViewId="0">
      <selection activeCell="K176" sqref="K176"/>
    </sheetView>
  </sheetViews>
  <sheetFormatPr defaultColWidth="8.77734375" defaultRowHeight="14.4" x14ac:dyDescent="0.3"/>
  <cols>
    <col min="1" max="1" width="7.6640625" bestFit="1" customWidth="1"/>
    <col min="2" max="2" width="14.44140625" bestFit="1" customWidth="1"/>
    <col min="3" max="3" width="11.5546875" bestFit="1" customWidth="1"/>
    <col min="4" max="4" width="11.5546875" customWidth="1"/>
    <col min="5" max="5" width="6.5546875" bestFit="1" customWidth="1"/>
    <col min="6" max="6" width="10" customWidth="1"/>
    <col min="7" max="7" width="15.33203125" bestFit="1" customWidth="1"/>
    <col min="8" max="8" width="15.109375" bestFit="1" customWidth="1"/>
    <col min="9" max="9" width="15.77734375" bestFit="1" customWidth="1"/>
    <col min="10" max="10" width="15.21875" bestFit="1" customWidth="1"/>
    <col min="11" max="1015" width="8.44140625" customWidth="1"/>
  </cols>
  <sheetData>
    <row r="1" spans="1:10" x14ac:dyDescent="0.3">
      <c r="A1" s="5" t="s">
        <v>0</v>
      </c>
      <c r="B1" s="5" t="s">
        <v>8</v>
      </c>
      <c r="C1" s="5" t="s">
        <v>9</v>
      </c>
      <c r="D1" s="5" t="s">
        <v>2</v>
      </c>
      <c r="E1" s="5" t="s">
        <v>6</v>
      </c>
      <c r="F1" s="5" t="s">
        <v>10</v>
      </c>
      <c r="G1" s="5" t="s">
        <v>11</v>
      </c>
      <c r="H1" s="5" t="s">
        <v>12</v>
      </c>
      <c r="I1" s="1" t="s">
        <v>13</v>
      </c>
      <c r="J1" s="5" t="s">
        <v>14</v>
      </c>
    </row>
    <row r="2" spans="1:10" x14ac:dyDescent="0.3">
      <c r="A2" s="6" t="s">
        <v>1790</v>
      </c>
      <c r="B2" s="6" t="s">
        <v>43</v>
      </c>
      <c r="C2" s="6" t="s">
        <v>41</v>
      </c>
      <c r="D2" s="6">
        <v>1</v>
      </c>
      <c r="E2" s="6">
        <v>2</v>
      </c>
      <c r="F2" s="6" t="s">
        <v>996</v>
      </c>
      <c r="G2" s="6" t="s">
        <v>1500</v>
      </c>
      <c r="H2" s="14">
        <v>0</v>
      </c>
      <c r="I2" s="13">
        <f>J2*1.25</f>
        <v>156.25</v>
      </c>
      <c r="J2" s="6" t="s">
        <v>1765</v>
      </c>
    </row>
    <row r="3" spans="1:10" x14ac:dyDescent="0.3">
      <c r="A3" s="6" t="s">
        <v>1791</v>
      </c>
      <c r="B3" s="6" t="s">
        <v>74</v>
      </c>
      <c r="C3" s="6" t="s">
        <v>72</v>
      </c>
      <c r="D3" s="6">
        <v>1</v>
      </c>
      <c r="E3" s="6">
        <v>2</v>
      </c>
      <c r="F3" s="6" t="s">
        <v>987</v>
      </c>
      <c r="G3" s="6" t="s">
        <v>1792</v>
      </c>
      <c r="H3" s="14">
        <v>0</v>
      </c>
      <c r="I3" s="13">
        <f t="shared" ref="I3:I66" si="0">J3*1.25</f>
        <v>78.75</v>
      </c>
      <c r="J3" s="6" t="s">
        <v>1205</v>
      </c>
    </row>
    <row r="4" spans="1:10" x14ac:dyDescent="0.3">
      <c r="A4" s="6" t="s">
        <v>1793</v>
      </c>
      <c r="B4" s="6" t="s">
        <v>74</v>
      </c>
      <c r="C4" s="6" t="s">
        <v>72</v>
      </c>
      <c r="D4" s="6">
        <v>1</v>
      </c>
      <c r="E4" s="6">
        <v>2</v>
      </c>
      <c r="F4" s="6" t="s">
        <v>1794</v>
      </c>
      <c r="G4" s="6" t="s">
        <v>1795</v>
      </c>
      <c r="H4" s="14">
        <v>0</v>
      </c>
      <c r="I4" s="13">
        <f t="shared" si="0"/>
        <v>156.25</v>
      </c>
      <c r="J4" s="6" t="s">
        <v>1765</v>
      </c>
    </row>
    <row r="5" spans="1:10" x14ac:dyDescent="0.3">
      <c r="A5" s="6" t="s">
        <v>1796</v>
      </c>
      <c r="B5" s="6" t="s">
        <v>127</v>
      </c>
      <c r="C5" s="6" t="s">
        <v>125</v>
      </c>
      <c r="D5" s="6">
        <v>1</v>
      </c>
      <c r="E5" s="6">
        <v>2</v>
      </c>
      <c r="F5" s="6" t="s">
        <v>996</v>
      </c>
      <c r="G5" s="6" t="s">
        <v>1797</v>
      </c>
      <c r="H5" s="14">
        <v>0</v>
      </c>
      <c r="I5" s="13">
        <f t="shared" si="0"/>
        <v>312.5</v>
      </c>
      <c r="J5" s="6" t="s">
        <v>1798</v>
      </c>
    </row>
    <row r="6" spans="1:10" x14ac:dyDescent="0.3">
      <c r="A6" s="6" t="s">
        <v>1799</v>
      </c>
      <c r="B6" s="6" t="s">
        <v>173</v>
      </c>
      <c r="C6" s="6" t="s">
        <v>171</v>
      </c>
      <c r="D6" s="6">
        <v>1</v>
      </c>
      <c r="E6" s="6">
        <v>2</v>
      </c>
      <c r="F6" s="6" t="s">
        <v>996</v>
      </c>
      <c r="G6" s="6" t="s">
        <v>1263</v>
      </c>
      <c r="H6" s="14">
        <v>0</v>
      </c>
      <c r="I6" s="13">
        <f t="shared" si="0"/>
        <v>312.5</v>
      </c>
      <c r="J6" s="6" t="s">
        <v>1798</v>
      </c>
    </row>
    <row r="7" spans="1:10" x14ac:dyDescent="0.3">
      <c r="A7" s="6" t="s">
        <v>1800</v>
      </c>
      <c r="B7" s="6" t="s">
        <v>173</v>
      </c>
      <c r="C7" s="6" t="s">
        <v>171</v>
      </c>
      <c r="D7" s="6">
        <v>1</v>
      </c>
      <c r="E7" s="6">
        <v>2</v>
      </c>
      <c r="F7" s="6" t="s">
        <v>996</v>
      </c>
      <c r="G7" s="6" t="s">
        <v>1263</v>
      </c>
      <c r="H7" s="14">
        <v>0</v>
      </c>
      <c r="I7" s="13">
        <f t="shared" si="0"/>
        <v>312.5</v>
      </c>
      <c r="J7" s="6" t="s">
        <v>1798</v>
      </c>
    </row>
    <row r="8" spans="1:10" x14ac:dyDescent="0.3">
      <c r="A8" s="6" t="s">
        <v>1801</v>
      </c>
      <c r="B8" s="6" t="s">
        <v>181</v>
      </c>
      <c r="C8" s="6" t="s">
        <v>179</v>
      </c>
      <c r="D8" s="6">
        <v>1</v>
      </c>
      <c r="E8" s="6">
        <v>2</v>
      </c>
      <c r="F8" s="6" t="s">
        <v>996</v>
      </c>
      <c r="G8" s="6" t="s">
        <v>1263</v>
      </c>
      <c r="H8" s="14">
        <v>0</v>
      </c>
      <c r="I8" s="13">
        <f t="shared" si="0"/>
        <v>312.5</v>
      </c>
      <c r="J8" s="6" t="s">
        <v>1798</v>
      </c>
    </row>
    <row r="9" spans="1:10" x14ac:dyDescent="0.3">
      <c r="A9" s="6" t="s">
        <v>1802</v>
      </c>
      <c r="B9" s="6" t="s">
        <v>181</v>
      </c>
      <c r="C9" s="6" t="s">
        <v>179</v>
      </c>
      <c r="D9" s="6">
        <v>1</v>
      </c>
      <c r="E9" s="6">
        <v>2</v>
      </c>
      <c r="F9" s="6" t="s">
        <v>996</v>
      </c>
      <c r="G9" s="6" t="s">
        <v>1263</v>
      </c>
      <c r="H9" s="14">
        <v>0</v>
      </c>
      <c r="I9" s="13">
        <f t="shared" si="0"/>
        <v>312.5</v>
      </c>
      <c r="J9" s="6" t="s">
        <v>1798</v>
      </c>
    </row>
    <row r="10" spans="1:10" x14ac:dyDescent="0.3">
      <c r="A10" s="6" t="s">
        <v>1803</v>
      </c>
      <c r="B10" s="6" t="s">
        <v>206</v>
      </c>
      <c r="C10" s="6" t="s">
        <v>204</v>
      </c>
      <c r="D10" s="6">
        <v>1</v>
      </c>
      <c r="E10" s="6">
        <v>2</v>
      </c>
      <c r="F10" s="6" t="s">
        <v>996</v>
      </c>
      <c r="G10" s="6" t="s">
        <v>1797</v>
      </c>
      <c r="H10" s="14">
        <v>0</v>
      </c>
      <c r="I10" s="13">
        <f t="shared" si="0"/>
        <v>312.5</v>
      </c>
      <c r="J10" s="6" t="s">
        <v>1798</v>
      </c>
    </row>
    <row r="11" spans="1:10" x14ac:dyDescent="0.3">
      <c r="A11" s="6" t="s">
        <v>1804</v>
      </c>
      <c r="B11" s="6" t="s">
        <v>206</v>
      </c>
      <c r="C11" s="6" t="s">
        <v>204</v>
      </c>
      <c r="D11" s="6">
        <v>1</v>
      </c>
      <c r="E11" s="6">
        <v>2</v>
      </c>
      <c r="F11" s="6" t="s">
        <v>996</v>
      </c>
      <c r="G11" s="6" t="s">
        <v>1797</v>
      </c>
      <c r="H11" s="14">
        <v>0</v>
      </c>
      <c r="I11" s="13">
        <f t="shared" si="0"/>
        <v>312.5</v>
      </c>
      <c r="J11" s="6" t="s">
        <v>1798</v>
      </c>
    </row>
    <row r="12" spans="1:10" x14ac:dyDescent="0.3">
      <c r="A12" s="6" t="s">
        <v>1805</v>
      </c>
      <c r="B12" s="6" t="s">
        <v>206</v>
      </c>
      <c r="C12" s="6" t="s">
        <v>204</v>
      </c>
      <c r="D12" s="6">
        <v>1</v>
      </c>
      <c r="E12" s="6">
        <v>2</v>
      </c>
      <c r="F12" s="6" t="s">
        <v>996</v>
      </c>
      <c r="G12" s="6" t="s">
        <v>1797</v>
      </c>
      <c r="H12" s="14">
        <v>0</v>
      </c>
      <c r="I12" s="13">
        <f t="shared" si="0"/>
        <v>312.5</v>
      </c>
      <c r="J12" s="6" t="s">
        <v>1798</v>
      </c>
    </row>
    <row r="13" spans="1:10" x14ac:dyDescent="0.3">
      <c r="A13" s="6" t="s">
        <v>1806</v>
      </c>
      <c r="B13" s="6" t="s">
        <v>206</v>
      </c>
      <c r="C13" s="6" t="s">
        <v>204</v>
      </c>
      <c r="D13" s="6">
        <v>1</v>
      </c>
      <c r="E13" s="6">
        <v>2</v>
      </c>
      <c r="F13" s="6" t="s">
        <v>996</v>
      </c>
      <c r="G13" s="6" t="s">
        <v>1797</v>
      </c>
      <c r="H13" s="14">
        <v>0</v>
      </c>
      <c r="I13" s="13">
        <f t="shared" si="0"/>
        <v>312.5</v>
      </c>
      <c r="J13" s="6" t="s">
        <v>1798</v>
      </c>
    </row>
    <row r="14" spans="1:10" x14ac:dyDescent="0.3">
      <c r="A14" s="6" t="s">
        <v>1807</v>
      </c>
      <c r="B14" s="6" t="s">
        <v>218</v>
      </c>
      <c r="C14" s="6" t="s">
        <v>216</v>
      </c>
      <c r="D14" s="6">
        <v>1</v>
      </c>
      <c r="E14" s="6">
        <v>2</v>
      </c>
      <c r="F14" s="6" t="s">
        <v>1808</v>
      </c>
      <c r="G14" s="6" t="s">
        <v>1809</v>
      </c>
      <c r="H14" s="14">
        <v>0</v>
      </c>
      <c r="I14" s="13">
        <f t="shared" si="0"/>
        <v>312.5</v>
      </c>
      <c r="J14" s="6" t="s">
        <v>1798</v>
      </c>
    </row>
    <row r="15" spans="1:10" x14ac:dyDescent="0.3">
      <c r="A15" s="6" t="s">
        <v>1810</v>
      </c>
      <c r="B15" s="6" t="s">
        <v>218</v>
      </c>
      <c r="C15" s="6" t="s">
        <v>216</v>
      </c>
      <c r="D15" s="6">
        <v>1</v>
      </c>
      <c r="E15" s="6">
        <v>2</v>
      </c>
      <c r="F15" s="6" t="s">
        <v>1811</v>
      </c>
      <c r="G15" s="6" t="s">
        <v>1249</v>
      </c>
      <c r="H15" s="14">
        <v>0</v>
      </c>
      <c r="I15" s="13">
        <f t="shared" si="0"/>
        <v>312.5</v>
      </c>
      <c r="J15" s="6" t="s">
        <v>1798</v>
      </c>
    </row>
    <row r="16" spans="1:10" x14ac:dyDescent="0.3">
      <c r="A16" s="13" t="s">
        <v>1812</v>
      </c>
      <c r="B16" s="13" t="s">
        <v>241</v>
      </c>
      <c r="C16" s="13" t="s">
        <v>241</v>
      </c>
      <c r="D16" s="13">
        <v>1</v>
      </c>
      <c r="E16" s="13">
        <v>0</v>
      </c>
      <c r="F16" s="13" t="s">
        <v>995</v>
      </c>
      <c r="G16" s="13" t="s">
        <v>1127</v>
      </c>
      <c r="H16" s="13">
        <v>0</v>
      </c>
      <c r="I16" s="13">
        <f t="shared" si="0"/>
        <v>437.5</v>
      </c>
      <c r="J16" s="13" t="s">
        <v>1413</v>
      </c>
    </row>
    <row r="17" spans="1:10" x14ac:dyDescent="0.3">
      <c r="A17" s="6" t="s">
        <v>1813</v>
      </c>
      <c r="B17" s="6" t="s">
        <v>241</v>
      </c>
      <c r="C17" s="6" t="s">
        <v>239</v>
      </c>
      <c r="D17" s="6">
        <v>1</v>
      </c>
      <c r="E17" s="6">
        <v>2</v>
      </c>
      <c r="F17" s="6" t="s">
        <v>996</v>
      </c>
      <c r="G17" s="6" t="s">
        <v>1797</v>
      </c>
      <c r="H17" s="14">
        <v>0</v>
      </c>
      <c r="I17" s="13">
        <f t="shared" si="0"/>
        <v>312.5</v>
      </c>
      <c r="J17" s="6" t="s">
        <v>1798</v>
      </c>
    </row>
    <row r="18" spans="1:10" x14ac:dyDescent="0.3">
      <c r="A18" s="6" t="s">
        <v>1814</v>
      </c>
      <c r="B18" s="6" t="s">
        <v>241</v>
      </c>
      <c r="C18" s="6" t="s">
        <v>239</v>
      </c>
      <c r="D18" s="6">
        <v>1</v>
      </c>
      <c r="E18" s="6">
        <v>2</v>
      </c>
      <c r="F18" s="6" t="s">
        <v>996</v>
      </c>
      <c r="G18" s="6" t="s">
        <v>1797</v>
      </c>
      <c r="H18" s="14">
        <v>0</v>
      </c>
      <c r="I18" s="13">
        <f t="shared" si="0"/>
        <v>312.5</v>
      </c>
      <c r="J18" s="6" t="s">
        <v>1798</v>
      </c>
    </row>
    <row r="19" spans="1:10" x14ac:dyDescent="0.3">
      <c r="A19" s="6" t="s">
        <v>1815</v>
      </c>
      <c r="B19" s="6" t="s">
        <v>241</v>
      </c>
      <c r="C19" s="6" t="s">
        <v>239</v>
      </c>
      <c r="D19" s="6">
        <v>1</v>
      </c>
      <c r="E19" s="6">
        <v>2</v>
      </c>
      <c r="F19" s="6" t="s">
        <v>996</v>
      </c>
      <c r="G19" s="6" t="s">
        <v>1797</v>
      </c>
      <c r="H19" s="14">
        <v>0</v>
      </c>
      <c r="I19" s="13">
        <f t="shared" si="0"/>
        <v>312.5</v>
      </c>
      <c r="J19" s="6" t="s">
        <v>1798</v>
      </c>
    </row>
    <row r="20" spans="1:10" x14ac:dyDescent="0.3">
      <c r="A20" s="6" t="s">
        <v>1816</v>
      </c>
      <c r="B20" s="6" t="s">
        <v>241</v>
      </c>
      <c r="C20" s="6" t="s">
        <v>239</v>
      </c>
      <c r="D20" s="6">
        <v>1</v>
      </c>
      <c r="E20" s="6">
        <v>2</v>
      </c>
      <c r="F20" s="6" t="s">
        <v>1209</v>
      </c>
      <c r="G20" s="6" t="s">
        <v>1817</v>
      </c>
      <c r="H20" s="14">
        <v>0</v>
      </c>
      <c r="I20" s="13">
        <f t="shared" si="0"/>
        <v>312.5</v>
      </c>
      <c r="J20" s="6" t="s">
        <v>1798</v>
      </c>
    </row>
    <row r="21" spans="1:10" x14ac:dyDescent="0.3">
      <c r="A21" s="6" t="s">
        <v>1818</v>
      </c>
      <c r="B21" s="6" t="s">
        <v>249</v>
      </c>
      <c r="C21" s="6" t="s">
        <v>247</v>
      </c>
      <c r="D21" s="6">
        <v>1</v>
      </c>
      <c r="E21" s="6">
        <v>2</v>
      </c>
      <c r="F21" s="6" t="s">
        <v>1819</v>
      </c>
      <c r="G21" s="6" t="s">
        <v>1820</v>
      </c>
      <c r="H21" s="14">
        <v>0</v>
      </c>
      <c r="I21" s="13">
        <f t="shared" si="0"/>
        <v>312.5</v>
      </c>
      <c r="J21" s="6" t="s">
        <v>1798</v>
      </c>
    </row>
    <row r="22" spans="1:10" x14ac:dyDescent="0.3">
      <c r="A22" s="6" t="s">
        <v>1821</v>
      </c>
      <c r="B22" s="6" t="s">
        <v>302</v>
      </c>
      <c r="C22" s="6" t="s">
        <v>300</v>
      </c>
      <c r="D22" s="6">
        <v>1</v>
      </c>
      <c r="E22" s="6">
        <v>2</v>
      </c>
      <c r="F22" s="6" t="s">
        <v>1209</v>
      </c>
      <c r="G22" s="6" t="s">
        <v>1817</v>
      </c>
      <c r="H22" s="14">
        <v>0</v>
      </c>
      <c r="I22" s="13">
        <f t="shared" si="0"/>
        <v>297.5</v>
      </c>
      <c r="J22" s="6" t="s">
        <v>1294</v>
      </c>
    </row>
    <row r="23" spans="1:10" x14ac:dyDescent="0.3">
      <c r="A23" s="6" t="s">
        <v>1822</v>
      </c>
      <c r="B23" s="6" t="s">
        <v>302</v>
      </c>
      <c r="C23" s="6" t="s">
        <v>300</v>
      </c>
      <c r="D23" s="6">
        <v>1</v>
      </c>
      <c r="E23" s="6">
        <v>2</v>
      </c>
      <c r="F23" s="6" t="s">
        <v>1209</v>
      </c>
      <c r="G23" s="6" t="s">
        <v>1817</v>
      </c>
      <c r="H23" s="14">
        <v>0</v>
      </c>
      <c r="I23" s="13">
        <f t="shared" si="0"/>
        <v>312.5</v>
      </c>
      <c r="J23" s="6" t="s">
        <v>1798</v>
      </c>
    </row>
    <row r="24" spans="1:10" x14ac:dyDescent="0.3">
      <c r="A24" s="6" t="s">
        <v>1823</v>
      </c>
      <c r="B24" s="6" t="s">
        <v>302</v>
      </c>
      <c r="C24" s="6" t="s">
        <v>300</v>
      </c>
      <c r="D24" s="6">
        <v>1</v>
      </c>
      <c r="E24" s="6">
        <v>2</v>
      </c>
      <c r="F24" s="6" t="s">
        <v>1794</v>
      </c>
      <c r="G24" s="6" t="s">
        <v>1824</v>
      </c>
      <c r="H24" s="14">
        <v>0</v>
      </c>
      <c r="I24" s="13">
        <f t="shared" si="0"/>
        <v>218.75</v>
      </c>
      <c r="J24" s="6" t="s">
        <v>1825</v>
      </c>
    </row>
    <row r="25" spans="1:10" x14ac:dyDescent="0.3">
      <c r="A25" s="6" t="s">
        <v>3124</v>
      </c>
      <c r="B25" s="6" t="s">
        <v>3125</v>
      </c>
      <c r="C25" s="6" t="s">
        <v>2982</v>
      </c>
      <c r="D25" s="6">
        <v>1</v>
      </c>
      <c r="E25" s="6">
        <v>2</v>
      </c>
      <c r="F25" s="6">
        <v>4.8000000000000001E-4</v>
      </c>
      <c r="G25" s="6">
        <v>7.1999999999999995E-2</v>
      </c>
      <c r="H25" s="14">
        <v>0</v>
      </c>
      <c r="I25" s="13">
        <f t="shared" si="0"/>
        <v>625</v>
      </c>
      <c r="J25" s="6">
        <v>500</v>
      </c>
    </row>
    <row r="26" spans="1:10" x14ac:dyDescent="0.3">
      <c r="A26" s="6" t="s">
        <v>3126</v>
      </c>
      <c r="B26" s="6" t="s">
        <v>3125</v>
      </c>
      <c r="C26" s="6" t="s">
        <v>2982</v>
      </c>
      <c r="D26" s="6">
        <v>1</v>
      </c>
      <c r="E26" s="6">
        <v>2</v>
      </c>
      <c r="F26" s="6">
        <v>4.8000000000000001E-4</v>
      </c>
      <c r="G26" s="6">
        <v>7.1999999999999995E-2</v>
      </c>
      <c r="H26" s="14">
        <v>0</v>
      </c>
      <c r="I26" s="13">
        <f t="shared" si="0"/>
        <v>625</v>
      </c>
      <c r="J26" s="6">
        <v>500</v>
      </c>
    </row>
    <row r="27" spans="1:10" x14ac:dyDescent="0.3">
      <c r="A27" s="6" t="s">
        <v>1826</v>
      </c>
      <c r="B27" s="6" t="s">
        <v>311</v>
      </c>
      <c r="C27" s="6" t="s">
        <v>309</v>
      </c>
      <c r="D27" s="6">
        <v>1</v>
      </c>
      <c r="E27" s="6">
        <v>2</v>
      </c>
      <c r="F27" s="6" t="s">
        <v>1827</v>
      </c>
      <c r="G27" s="6" t="s">
        <v>1263</v>
      </c>
      <c r="H27" s="14">
        <v>0</v>
      </c>
      <c r="I27" s="13">
        <f t="shared" si="0"/>
        <v>312.5</v>
      </c>
      <c r="J27" s="6" t="s">
        <v>1798</v>
      </c>
    </row>
    <row r="28" spans="1:10" x14ac:dyDescent="0.3">
      <c r="A28" s="6" t="s">
        <v>1828</v>
      </c>
      <c r="B28" s="6" t="s">
        <v>362</v>
      </c>
      <c r="C28" s="6" t="s">
        <v>360</v>
      </c>
      <c r="D28" s="6">
        <v>1</v>
      </c>
      <c r="E28" s="6">
        <v>2</v>
      </c>
      <c r="F28" s="6" t="s">
        <v>1829</v>
      </c>
      <c r="G28" s="6" t="s">
        <v>1830</v>
      </c>
      <c r="H28" s="14">
        <v>0</v>
      </c>
      <c r="I28" s="13">
        <f t="shared" si="0"/>
        <v>625</v>
      </c>
      <c r="J28" s="6" t="s">
        <v>1831</v>
      </c>
    </row>
    <row r="29" spans="1:10" x14ac:dyDescent="0.3">
      <c r="A29" s="6" t="s">
        <v>1832</v>
      </c>
      <c r="B29" s="6" t="s">
        <v>362</v>
      </c>
      <c r="C29" s="6" t="s">
        <v>360</v>
      </c>
      <c r="D29" s="6">
        <v>1</v>
      </c>
      <c r="E29" s="6">
        <v>2</v>
      </c>
      <c r="F29" s="6" t="s">
        <v>1833</v>
      </c>
      <c r="G29" s="6" t="s">
        <v>978</v>
      </c>
      <c r="H29" s="14">
        <v>0</v>
      </c>
      <c r="I29" s="13">
        <f t="shared" si="0"/>
        <v>625</v>
      </c>
      <c r="J29" s="6" t="s">
        <v>1831</v>
      </c>
    </row>
    <row r="30" spans="1:10" x14ac:dyDescent="0.3">
      <c r="A30" s="6" t="s">
        <v>1834</v>
      </c>
      <c r="B30" s="6" t="s">
        <v>382</v>
      </c>
      <c r="C30" s="6" t="s">
        <v>380</v>
      </c>
      <c r="D30" s="6">
        <v>1</v>
      </c>
      <c r="E30" s="6">
        <v>2</v>
      </c>
      <c r="F30" s="6" t="s">
        <v>1819</v>
      </c>
      <c r="G30" s="6" t="s">
        <v>1835</v>
      </c>
      <c r="H30" s="14">
        <v>0</v>
      </c>
      <c r="I30" s="13">
        <f t="shared" si="0"/>
        <v>312.5</v>
      </c>
      <c r="J30" s="6" t="s">
        <v>1798</v>
      </c>
    </row>
    <row r="31" spans="1:10" x14ac:dyDescent="0.3">
      <c r="A31" s="6" t="s">
        <v>1836</v>
      </c>
      <c r="B31" s="6" t="s">
        <v>382</v>
      </c>
      <c r="C31" s="6" t="s">
        <v>380</v>
      </c>
      <c r="D31" s="6">
        <v>1</v>
      </c>
      <c r="E31" s="6">
        <v>2</v>
      </c>
      <c r="F31" s="6" t="s">
        <v>1819</v>
      </c>
      <c r="G31" s="6" t="s">
        <v>1837</v>
      </c>
      <c r="H31" s="14">
        <v>0</v>
      </c>
      <c r="I31" s="13">
        <f t="shared" si="0"/>
        <v>312.5</v>
      </c>
      <c r="J31" s="6" t="s">
        <v>1798</v>
      </c>
    </row>
    <row r="32" spans="1:10" x14ac:dyDescent="0.3">
      <c r="A32" s="6" t="s">
        <v>1838</v>
      </c>
      <c r="B32" s="6" t="s">
        <v>382</v>
      </c>
      <c r="C32" s="6" t="s">
        <v>380</v>
      </c>
      <c r="D32" s="6">
        <v>1</v>
      </c>
      <c r="E32" s="6">
        <v>2</v>
      </c>
      <c r="F32" s="6" t="s">
        <v>996</v>
      </c>
      <c r="G32" s="6" t="s">
        <v>1263</v>
      </c>
      <c r="H32" s="14">
        <v>0</v>
      </c>
      <c r="I32" s="13">
        <f t="shared" si="0"/>
        <v>312.5</v>
      </c>
      <c r="J32" s="6" t="s">
        <v>1798</v>
      </c>
    </row>
    <row r="33" spans="1:10" x14ac:dyDescent="0.3">
      <c r="A33" s="6" t="s">
        <v>1839</v>
      </c>
      <c r="B33" s="6" t="s">
        <v>382</v>
      </c>
      <c r="C33" s="6" t="s">
        <v>380</v>
      </c>
      <c r="D33" s="6">
        <v>1</v>
      </c>
      <c r="E33" s="6">
        <v>2</v>
      </c>
      <c r="F33" s="6" t="s">
        <v>996</v>
      </c>
      <c r="G33" s="6" t="s">
        <v>1840</v>
      </c>
      <c r="H33" s="14">
        <v>0</v>
      </c>
      <c r="I33" s="13">
        <f t="shared" si="0"/>
        <v>312.5</v>
      </c>
      <c r="J33" s="6" t="s">
        <v>1798</v>
      </c>
    </row>
    <row r="34" spans="1:10" x14ac:dyDescent="0.3">
      <c r="A34" s="6" t="s">
        <v>1841</v>
      </c>
      <c r="B34" s="6" t="s">
        <v>382</v>
      </c>
      <c r="C34" s="6" t="s">
        <v>380</v>
      </c>
      <c r="D34" s="6">
        <v>1</v>
      </c>
      <c r="E34" s="6">
        <v>2</v>
      </c>
      <c r="F34" s="6" t="s">
        <v>996</v>
      </c>
      <c r="G34" s="6" t="s">
        <v>1263</v>
      </c>
      <c r="H34" s="14">
        <v>0</v>
      </c>
      <c r="I34" s="13">
        <f t="shared" si="0"/>
        <v>312.5</v>
      </c>
      <c r="J34" s="6" t="s">
        <v>1798</v>
      </c>
    </row>
    <row r="35" spans="1:10" x14ac:dyDescent="0.3">
      <c r="A35" s="6" t="s">
        <v>1842</v>
      </c>
      <c r="B35" s="6" t="s">
        <v>389</v>
      </c>
      <c r="C35" s="6" t="s">
        <v>387</v>
      </c>
      <c r="D35" s="6">
        <v>1</v>
      </c>
      <c r="E35" s="6">
        <v>2</v>
      </c>
      <c r="F35" s="6" t="s">
        <v>1843</v>
      </c>
      <c r="G35" s="6" t="s">
        <v>1144</v>
      </c>
      <c r="H35" s="14">
        <v>0</v>
      </c>
      <c r="I35" s="13">
        <f t="shared" si="0"/>
        <v>156.25</v>
      </c>
      <c r="J35" s="6" t="s">
        <v>1765</v>
      </c>
    </row>
    <row r="36" spans="1:10" x14ac:dyDescent="0.3">
      <c r="A36" s="6" t="s">
        <v>1844</v>
      </c>
      <c r="B36" s="6" t="s">
        <v>389</v>
      </c>
      <c r="C36" s="6" t="s">
        <v>387</v>
      </c>
      <c r="D36" s="6">
        <v>1</v>
      </c>
      <c r="E36" s="6">
        <v>2</v>
      </c>
      <c r="F36" s="6" t="s">
        <v>1845</v>
      </c>
      <c r="G36" s="6" t="s">
        <v>1846</v>
      </c>
      <c r="H36" s="14">
        <v>0</v>
      </c>
      <c r="I36" s="13">
        <f t="shared" si="0"/>
        <v>156.25</v>
      </c>
      <c r="J36" s="6" t="s">
        <v>1765</v>
      </c>
    </row>
    <row r="37" spans="1:10" x14ac:dyDescent="0.3">
      <c r="A37" s="6" t="s">
        <v>1847</v>
      </c>
      <c r="B37" s="6" t="s">
        <v>405</v>
      </c>
      <c r="C37" s="6" t="s">
        <v>403</v>
      </c>
      <c r="D37" s="6">
        <v>1</v>
      </c>
      <c r="E37" s="6">
        <v>2</v>
      </c>
      <c r="F37" s="6" t="s">
        <v>1848</v>
      </c>
      <c r="G37" s="6" t="s">
        <v>1846</v>
      </c>
      <c r="H37" s="14">
        <v>0</v>
      </c>
      <c r="I37" s="13">
        <f t="shared" si="0"/>
        <v>156.25</v>
      </c>
      <c r="J37" s="6" t="s">
        <v>1765</v>
      </c>
    </row>
    <row r="38" spans="1:10" x14ac:dyDescent="0.3">
      <c r="A38" s="6" t="s">
        <v>1849</v>
      </c>
      <c r="B38" s="6" t="s">
        <v>405</v>
      </c>
      <c r="C38" s="6" t="s">
        <v>403</v>
      </c>
      <c r="D38" s="6">
        <v>1</v>
      </c>
      <c r="E38" s="6">
        <v>2</v>
      </c>
      <c r="F38" s="6" t="s">
        <v>32</v>
      </c>
      <c r="G38" s="6" t="s">
        <v>1795</v>
      </c>
      <c r="H38" s="14">
        <v>0</v>
      </c>
      <c r="I38" s="13">
        <f t="shared" si="0"/>
        <v>156.25</v>
      </c>
      <c r="J38" s="6" t="s">
        <v>1765</v>
      </c>
    </row>
    <row r="39" spans="1:10" x14ac:dyDescent="0.3">
      <c r="A39" s="6" t="s">
        <v>1850</v>
      </c>
      <c r="B39" s="6" t="s">
        <v>426</v>
      </c>
      <c r="C39" s="6" t="s">
        <v>424</v>
      </c>
      <c r="D39" s="6">
        <v>1</v>
      </c>
      <c r="E39" s="6">
        <v>2</v>
      </c>
      <c r="F39" s="6" t="s">
        <v>996</v>
      </c>
      <c r="G39" s="6" t="s">
        <v>1263</v>
      </c>
      <c r="H39" s="14">
        <v>0</v>
      </c>
      <c r="I39" s="13">
        <f t="shared" si="0"/>
        <v>312.5</v>
      </c>
      <c r="J39" s="6" t="s">
        <v>1798</v>
      </c>
    </row>
    <row r="40" spans="1:10" x14ac:dyDescent="0.3">
      <c r="A40" s="6" t="s">
        <v>1851</v>
      </c>
      <c r="B40" s="6" t="s">
        <v>461</v>
      </c>
      <c r="C40" s="6" t="s">
        <v>459</v>
      </c>
      <c r="D40" s="6">
        <v>1</v>
      </c>
      <c r="E40" s="6">
        <v>2</v>
      </c>
      <c r="F40" s="6" t="s">
        <v>996</v>
      </c>
      <c r="G40" s="6" t="s">
        <v>1852</v>
      </c>
      <c r="H40" s="14">
        <v>0</v>
      </c>
      <c r="I40" s="13">
        <f t="shared" si="0"/>
        <v>312.5</v>
      </c>
      <c r="J40" s="6" t="s">
        <v>1798</v>
      </c>
    </row>
    <row r="41" spans="1:10" x14ac:dyDescent="0.3">
      <c r="A41" s="6" t="s">
        <v>1853</v>
      </c>
      <c r="B41" s="6" t="s">
        <v>461</v>
      </c>
      <c r="C41" s="6" t="s">
        <v>459</v>
      </c>
      <c r="D41" s="6">
        <v>1</v>
      </c>
      <c r="E41" s="6">
        <v>2</v>
      </c>
      <c r="F41" s="6" t="s">
        <v>1208</v>
      </c>
      <c r="G41" s="6" t="s">
        <v>1078</v>
      </c>
      <c r="H41" s="14">
        <v>0</v>
      </c>
      <c r="I41" s="13">
        <f t="shared" si="0"/>
        <v>312.5</v>
      </c>
      <c r="J41" s="6" t="s">
        <v>1798</v>
      </c>
    </row>
    <row r="42" spans="1:10" x14ac:dyDescent="0.3">
      <c r="A42" s="6" t="s">
        <v>1854</v>
      </c>
      <c r="B42" s="6" t="s">
        <v>461</v>
      </c>
      <c r="C42" s="6" t="s">
        <v>459</v>
      </c>
      <c r="D42" s="6">
        <v>1</v>
      </c>
      <c r="E42" s="6">
        <v>2</v>
      </c>
      <c r="F42" s="6" t="s">
        <v>996</v>
      </c>
      <c r="G42" s="6" t="s">
        <v>1852</v>
      </c>
      <c r="H42" s="14">
        <v>0</v>
      </c>
      <c r="I42" s="13">
        <f t="shared" si="0"/>
        <v>312.5</v>
      </c>
      <c r="J42" s="6" t="s">
        <v>1798</v>
      </c>
    </row>
    <row r="43" spans="1:10" x14ac:dyDescent="0.3">
      <c r="A43" s="6" t="s">
        <v>1855</v>
      </c>
      <c r="B43" s="6" t="s">
        <v>461</v>
      </c>
      <c r="C43" s="6" t="s">
        <v>459</v>
      </c>
      <c r="D43" s="6">
        <v>1</v>
      </c>
      <c r="E43" s="6">
        <v>2</v>
      </c>
      <c r="F43" s="6" t="s">
        <v>1208</v>
      </c>
      <c r="G43" s="6" t="s">
        <v>1078</v>
      </c>
      <c r="H43" s="14">
        <v>0</v>
      </c>
      <c r="I43" s="13">
        <f t="shared" si="0"/>
        <v>312.5</v>
      </c>
      <c r="J43" s="6" t="s">
        <v>1798</v>
      </c>
    </row>
    <row r="44" spans="1:10" x14ac:dyDescent="0.3">
      <c r="A44" s="6" t="s">
        <v>1856</v>
      </c>
      <c r="B44" s="6" t="s">
        <v>487</v>
      </c>
      <c r="C44" s="6" t="s">
        <v>485</v>
      </c>
      <c r="D44" s="6">
        <v>1</v>
      </c>
      <c r="E44" s="6">
        <v>2</v>
      </c>
      <c r="F44" s="6" t="s">
        <v>1857</v>
      </c>
      <c r="G44" s="6" t="s">
        <v>1858</v>
      </c>
      <c r="H44" s="14">
        <v>0</v>
      </c>
      <c r="I44" s="13">
        <f t="shared" si="0"/>
        <v>78.75</v>
      </c>
      <c r="J44" s="6" t="s">
        <v>1205</v>
      </c>
    </row>
    <row r="45" spans="1:10" x14ac:dyDescent="0.3">
      <c r="A45" s="6" t="s">
        <v>1859</v>
      </c>
      <c r="B45" s="6" t="s">
        <v>487</v>
      </c>
      <c r="C45" s="6" t="s">
        <v>485</v>
      </c>
      <c r="D45" s="6">
        <v>1</v>
      </c>
      <c r="E45" s="6">
        <v>2</v>
      </c>
      <c r="F45" s="6" t="s">
        <v>1860</v>
      </c>
      <c r="G45" s="6" t="s">
        <v>1861</v>
      </c>
      <c r="H45" s="14">
        <v>0</v>
      </c>
      <c r="I45" s="13">
        <f t="shared" si="0"/>
        <v>78.75</v>
      </c>
      <c r="J45" s="6" t="s">
        <v>1205</v>
      </c>
    </row>
    <row r="46" spans="1:10" x14ac:dyDescent="0.3">
      <c r="A46" s="6" t="s">
        <v>1862</v>
      </c>
      <c r="B46" s="6" t="s">
        <v>487</v>
      </c>
      <c r="C46" s="6" t="s">
        <v>485</v>
      </c>
      <c r="D46" s="6">
        <v>1</v>
      </c>
      <c r="E46" s="6">
        <v>2</v>
      </c>
      <c r="F46" s="6" t="s">
        <v>1209</v>
      </c>
      <c r="G46" s="6" t="s">
        <v>1817</v>
      </c>
      <c r="H46" s="14">
        <v>0</v>
      </c>
      <c r="I46" s="13">
        <f t="shared" si="0"/>
        <v>312.5</v>
      </c>
      <c r="J46" s="6" t="s">
        <v>1798</v>
      </c>
    </row>
    <row r="47" spans="1:10" x14ac:dyDescent="0.3">
      <c r="A47" s="6" t="s">
        <v>1863</v>
      </c>
      <c r="B47" s="6" t="s">
        <v>487</v>
      </c>
      <c r="C47" s="6" t="s">
        <v>485</v>
      </c>
      <c r="D47" s="6">
        <v>1</v>
      </c>
      <c r="E47" s="6">
        <v>2</v>
      </c>
      <c r="F47" s="6" t="s">
        <v>996</v>
      </c>
      <c r="G47" s="6" t="s">
        <v>1085</v>
      </c>
      <c r="H47" s="14">
        <v>0</v>
      </c>
      <c r="I47" s="13">
        <f t="shared" si="0"/>
        <v>156.25</v>
      </c>
      <c r="J47" s="6" t="s">
        <v>1765</v>
      </c>
    </row>
    <row r="48" spans="1:10" x14ac:dyDescent="0.3">
      <c r="A48" s="6" t="s">
        <v>1864</v>
      </c>
      <c r="B48" s="6" t="s">
        <v>490</v>
      </c>
      <c r="C48" s="6" t="s">
        <v>489</v>
      </c>
      <c r="D48" s="6">
        <v>1</v>
      </c>
      <c r="E48" s="6">
        <v>2</v>
      </c>
      <c r="F48" s="6" t="s">
        <v>1209</v>
      </c>
      <c r="G48" s="6" t="s">
        <v>1817</v>
      </c>
      <c r="H48" s="14">
        <v>0</v>
      </c>
      <c r="I48" s="13">
        <f t="shared" si="0"/>
        <v>312.5</v>
      </c>
      <c r="J48" s="6" t="s">
        <v>1798</v>
      </c>
    </row>
    <row r="49" spans="1:10" x14ac:dyDescent="0.3">
      <c r="A49" s="6" t="s">
        <v>1865</v>
      </c>
      <c r="B49" s="6" t="s">
        <v>490</v>
      </c>
      <c r="C49" s="6" t="s">
        <v>489</v>
      </c>
      <c r="D49" s="6">
        <v>1</v>
      </c>
      <c r="E49" s="6">
        <v>2</v>
      </c>
      <c r="F49" s="6" t="s">
        <v>1209</v>
      </c>
      <c r="G49" s="6" t="s">
        <v>1817</v>
      </c>
      <c r="H49" s="14">
        <v>0</v>
      </c>
      <c r="I49" s="13">
        <f t="shared" si="0"/>
        <v>312.5</v>
      </c>
      <c r="J49" s="6" t="s">
        <v>1798</v>
      </c>
    </row>
    <row r="50" spans="1:10" x14ac:dyDescent="0.3">
      <c r="A50" s="6" t="s">
        <v>1866</v>
      </c>
      <c r="B50" s="6" t="s">
        <v>494</v>
      </c>
      <c r="C50" s="6" t="s">
        <v>492</v>
      </c>
      <c r="D50" s="6">
        <v>1</v>
      </c>
      <c r="E50" s="6">
        <v>2</v>
      </c>
      <c r="F50" s="6" t="s">
        <v>1867</v>
      </c>
      <c r="G50" s="6" t="s">
        <v>1795</v>
      </c>
      <c r="H50" s="14">
        <v>0</v>
      </c>
      <c r="I50" s="13">
        <f t="shared" si="0"/>
        <v>156.25</v>
      </c>
      <c r="J50" s="6" t="s">
        <v>1765</v>
      </c>
    </row>
    <row r="51" spans="1:10" x14ac:dyDescent="0.3">
      <c r="A51" s="6" t="s">
        <v>1868</v>
      </c>
      <c r="B51" s="6" t="s">
        <v>494</v>
      </c>
      <c r="C51" s="6" t="s">
        <v>492</v>
      </c>
      <c r="D51" s="6">
        <v>1</v>
      </c>
      <c r="E51" s="6">
        <v>2</v>
      </c>
      <c r="F51" s="6" t="s">
        <v>1845</v>
      </c>
      <c r="G51" s="6" t="s">
        <v>1795</v>
      </c>
      <c r="H51" s="14">
        <v>0</v>
      </c>
      <c r="I51" s="13">
        <f t="shared" si="0"/>
        <v>156.25</v>
      </c>
      <c r="J51" s="6" t="s">
        <v>1765</v>
      </c>
    </row>
    <row r="52" spans="1:10" x14ac:dyDescent="0.3">
      <c r="A52" s="6" t="s">
        <v>1869</v>
      </c>
      <c r="B52" s="6" t="s">
        <v>503</v>
      </c>
      <c r="C52" s="6" t="s">
        <v>501</v>
      </c>
      <c r="D52" s="6">
        <v>1</v>
      </c>
      <c r="E52" s="6">
        <v>2</v>
      </c>
      <c r="F52" s="6" t="s">
        <v>996</v>
      </c>
      <c r="G52" s="6" t="s">
        <v>1263</v>
      </c>
      <c r="H52" s="14">
        <v>0</v>
      </c>
      <c r="I52" s="13">
        <f t="shared" si="0"/>
        <v>312.5</v>
      </c>
      <c r="J52" s="6" t="s">
        <v>1798</v>
      </c>
    </row>
    <row r="53" spans="1:10" x14ac:dyDescent="0.3">
      <c r="A53" s="6" t="s">
        <v>1870</v>
      </c>
      <c r="B53" s="6" t="s">
        <v>503</v>
      </c>
      <c r="C53" s="6" t="s">
        <v>501</v>
      </c>
      <c r="D53" s="6">
        <v>1</v>
      </c>
      <c r="E53" s="6">
        <v>2</v>
      </c>
      <c r="F53" s="6" t="s">
        <v>996</v>
      </c>
      <c r="G53" s="6" t="s">
        <v>1263</v>
      </c>
      <c r="H53" s="14">
        <v>0</v>
      </c>
      <c r="I53" s="13">
        <f t="shared" si="0"/>
        <v>312.5</v>
      </c>
      <c r="J53" s="6" t="s">
        <v>1798</v>
      </c>
    </row>
    <row r="54" spans="1:10" x14ac:dyDescent="0.3">
      <c r="A54" s="6" t="s">
        <v>1871</v>
      </c>
      <c r="B54" s="6" t="s">
        <v>127</v>
      </c>
      <c r="C54" s="6" t="s">
        <v>125</v>
      </c>
      <c r="D54" s="6">
        <v>1</v>
      </c>
      <c r="E54" s="6">
        <v>2</v>
      </c>
      <c r="F54" s="6" t="s">
        <v>996</v>
      </c>
      <c r="G54" s="6" t="s">
        <v>1797</v>
      </c>
      <c r="H54" s="14">
        <v>0</v>
      </c>
      <c r="I54" s="13">
        <f t="shared" si="0"/>
        <v>312.5</v>
      </c>
      <c r="J54" s="6" t="s">
        <v>1798</v>
      </c>
    </row>
    <row r="55" spans="1:10" x14ac:dyDescent="0.3">
      <c r="A55" s="6" t="s">
        <v>1872</v>
      </c>
      <c r="B55" s="6" t="s">
        <v>249</v>
      </c>
      <c r="C55" s="6" t="s">
        <v>247</v>
      </c>
      <c r="D55" s="6">
        <v>1</v>
      </c>
      <c r="E55" s="6">
        <v>2</v>
      </c>
      <c r="F55" s="6" t="s">
        <v>1819</v>
      </c>
      <c r="G55" s="6" t="s">
        <v>1820</v>
      </c>
      <c r="H55" s="14">
        <v>0</v>
      </c>
      <c r="I55" s="13">
        <f t="shared" si="0"/>
        <v>312.5</v>
      </c>
      <c r="J55" s="6" t="s">
        <v>1798</v>
      </c>
    </row>
    <row r="56" spans="1:10" x14ac:dyDescent="0.3">
      <c r="A56" s="6" t="s">
        <v>1873</v>
      </c>
      <c r="B56" s="6" t="s">
        <v>514</v>
      </c>
      <c r="C56" s="6" t="s">
        <v>512</v>
      </c>
      <c r="D56" s="6">
        <v>1</v>
      </c>
      <c r="E56" s="6">
        <v>2</v>
      </c>
      <c r="F56" s="6" t="s">
        <v>1819</v>
      </c>
      <c r="G56" s="6" t="s">
        <v>1820</v>
      </c>
      <c r="H56" s="14">
        <v>0</v>
      </c>
      <c r="I56" s="13">
        <f t="shared" si="0"/>
        <v>312.5</v>
      </c>
      <c r="J56" s="6" t="s">
        <v>1798</v>
      </c>
    </row>
    <row r="57" spans="1:10" x14ac:dyDescent="0.3">
      <c r="A57" s="6" t="s">
        <v>1874</v>
      </c>
      <c r="B57" s="6" t="s">
        <v>514</v>
      </c>
      <c r="C57" s="6" t="s">
        <v>512</v>
      </c>
      <c r="D57" s="6">
        <v>1</v>
      </c>
      <c r="E57" s="6">
        <v>2</v>
      </c>
      <c r="F57" s="6" t="s">
        <v>1819</v>
      </c>
      <c r="G57" s="6" t="s">
        <v>1875</v>
      </c>
      <c r="H57" s="14">
        <v>0</v>
      </c>
      <c r="I57" s="13">
        <f t="shared" si="0"/>
        <v>312.5</v>
      </c>
      <c r="J57" s="6" t="s">
        <v>1798</v>
      </c>
    </row>
    <row r="58" spans="1:10" x14ac:dyDescent="0.3">
      <c r="A58" s="13" t="s">
        <v>1876</v>
      </c>
      <c r="B58" s="13" t="s">
        <v>562</v>
      </c>
      <c r="C58" s="13" t="s">
        <v>561</v>
      </c>
      <c r="D58" s="6">
        <v>1</v>
      </c>
      <c r="E58" s="6">
        <v>2</v>
      </c>
      <c r="F58" s="6" t="s">
        <v>996</v>
      </c>
      <c r="G58" s="6" t="s">
        <v>1263</v>
      </c>
      <c r="H58" s="14">
        <v>0</v>
      </c>
      <c r="I58" s="13">
        <f t="shared" si="0"/>
        <v>312.5</v>
      </c>
      <c r="J58" s="6" t="s">
        <v>1798</v>
      </c>
    </row>
    <row r="59" spans="1:10" x14ac:dyDescent="0.3">
      <c r="A59" s="6" t="s">
        <v>1877</v>
      </c>
      <c r="B59" s="6" t="s">
        <v>551</v>
      </c>
      <c r="C59" s="6" t="s">
        <v>549</v>
      </c>
      <c r="D59" s="6">
        <v>1</v>
      </c>
      <c r="E59" s="6">
        <v>2</v>
      </c>
      <c r="F59" s="6" t="s">
        <v>1878</v>
      </c>
      <c r="G59" s="6" t="s">
        <v>1846</v>
      </c>
      <c r="H59" s="14">
        <v>0</v>
      </c>
      <c r="I59" s="13">
        <f t="shared" si="0"/>
        <v>156.25</v>
      </c>
      <c r="J59" s="6" t="s">
        <v>1765</v>
      </c>
    </row>
    <row r="60" spans="1:10" x14ac:dyDescent="0.3">
      <c r="A60" s="6" t="s">
        <v>1879</v>
      </c>
      <c r="B60" s="6" t="s">
        <v>551</v>
      </c>
      <c r="C60" s="6" t="s">
        <v>549</v>
      </c>
      <c r="D60" s="6">
        <v>1</v>
      </c>
      <c r="E60" s="6">
        <v>2</v>
      </c>
      <c r="F60" s="6" t="s">
        <v>32</v>
      </c>
      <c r="G60" s="6" t="s">
        <v>1880</v>
      </c>
      <c r="H60" s="14">
        <v>0</v>
      </c>
      <c r="I60" s="13">
        <f t="shared" si="0"/>
        <v>156.25</v>
      </c>
      <c r="J60" s="6" t="s">
        <v>1765</v>
      </c>
    </row>
    <row r="61" spans="1:10" x14ac:dyDescent="0.3">
      <c r="A61" s="6" t="s">
        <v>1881</v>
      </c>
      <c r="B61" s="6" t="s">
        <v>551</v>
      </c>
      <c r="C61" s="6" t="s">
        <v>549</v>
      </c>
      <c r="D61" s="6">
        <v>1</v>
      </c>
      <c r="E61" s="6">
        <v>2</v>
      </c>
      <c r="F61" s="6" t="s">
        <v>1878</v>
      </c>
      <c r="G61" s="6" t="s">
        <v>1880</v>
      </c>
      <c r="H61" s="14">
        <v>0</v>
      </c>
      <c r="I61" s="13">
        <f t="shared" si="0"/>
        <v>156.25</v>
      </c>
      <c r="J61" s="6" t="s">
        <v>1765</v>
      </c>
    </row>
    <row r="62" spans="1:10" x14ac:dyDescent="0.3">
      <c r="A62" s="6" t="s">
        <v>1882</v>
      </c>
      <c r="B62" s="6" t="s">
        <v>551</v>
      </c>
      <c r="C62" s="6" t="s">
        <v>549</v>
      </c>
      <c r="D62" s="6">
        <v>1</v>
      </c>
      <c r="E62" s="6">
        <v>2</v>
      </c>
      <c r="F62" s="6" t="s">
        <v>996</v>
      </c>
      <c r="G62" s="6" t="s">
        <v>1263</v>
      </c>
      <c r="H62" s="14">
        <v>0</v>
      </c>
      <c r="I62" s="13">
        <f t="shared" si="0"/>
        <v>312.5</v>
      </c>
      <c r="J62" s="6" t="s">
        <v>1798</v>
      </c>
    </row>
    <row r="63" spans="1:10" x14ac:dyDescent="0.3">
      <c r="A63" s="6" t="s">
        <v>1883</v>
      </c>
      <c r="B63" s="6" t="s">
        <v>551</v>
      </c>
      <c r="C63" s="6" t="s">
        <v>553</v>
      </c>
      <c r="D63" s="6">
        <v>1</v>
      </c>
      <c r="E63" s="6">
        <v>2</v>
      </c>
      <c r="F63" s="6" t="s">
        <v>1845</v>
      </c>
      <c r="G63" s="6" t="s">
        <v>1043</v>
      </c>
      <c r="H63" s="14">
        <v>0</v>
      </c>
      <c r="I63" s="13">
        <f t="shared" si="0"/>
        <v>375</v>
      </c>
      <c r="J63" s="6" t="s">
        <v>1884</v>
      </c>
    </row>
    <row r="64" spans="1:10" x14ac:dyDescent="0.3">
      <c r="A64" s="6" t="s">
        <v>1885</v>
      </c>
      <c r="B64" s="6" t="s">
        <v>551</v>
      </c>
      <c r="C64" s="6" t="s">
        <v>553</v>
      </c>
      <c r="D64" s="6">
        <v>1</v>
      </c>
      <c r="E64" s="6">
        <v>2</v>
      </c>
      <c r="F64" s="6" t="s">
        <v>1845</v>
      </c>
      <c r="G64" s="6" t="s">
        <v>1080</v>
      </c>
      <c r="H64" s="14">
        <v>0</v>
      </c>
      <c r="I64" s="13">
        <f t="shared" si="0"/>
        <v>750</v>
      </c>
      <c r="J64" s="6" t="s">
        <v>1886</v>
      </c>
    </row>
    <row r="65" spans="1:10" x14ac:dyDescent="0.3">
      <c r="A65" s="6" t="s">
        <v>1887</v>
      </c>
      <c r="B65" s="6" t="s">
        <v>553</v>
      </c>
      <c r="C65" s="6" t="s">
        <v>551</v>
      </c>
      <c r="D65" s="6">
        <v>1</v>
      </c>
      <c r="E65" s="6">
        <v>2</v>
      </c>
      <c r="F65" s="6" t="s">
        <v>1845</v>
      </c>
      <c r="G65" s="6" t="s">
        <v>1888</v>
      </c>
      <c r="H65" s="14">
        <v>0</v>
      </c>
      <c r="I65" s="13">
        <f t="shared" si="0"/>
        <v>375</v>
      </c>
      <c r="J65" s="6" t="s">
        <v>1884</v>
      </c>
    </row>
    <row r="66" spans="1:10" x14ac:dyDescent="0.3">
      <c r="A66" s="6" t="s">
        <v>1889</v>
      </c>
      <c r="B66" s="6" t="s">
        <v>572</v>
      </c>
      <c r="C66" s="6" t="s">
        <v>570</v>
      </c>
      <c r="D66" s="6">
        <v>1</v>
      </c>
      <c r="E66" s="6">
        <v>2</v>
      </c>
      <c r="F66" s="6" t="s">
        <v>1794</v>
      </c>
      <c r="G66" s="6" t="s">
        <v>1890</v>
      </c>
      <c r="H66" s="14">
        <v>0</v>
      </c>
      <c r="I66" s="13">
        <f t="shared" si="0"/>
        <v>156.25</v>
      </c>
      <c r="J66" s="6" t="s">
        <v>1765</v>
      </c>
    </row>
    <row r="67" spans="1:10" x14ac:dyDescent="0.3">
      <c r="A67" s="6" t="s">
        <v>1891</v>
      </c>
      <c r="B67" s="6" t="s">
        <v>572</v>
      </c>
      <c r="C67" s="6" t="s">
        <v>570</v>
      </c>
      <c r="D67" s="6">
        <v>1</v>
      </c>
      <c r="E67" s="6">
        <v>2</v>
      </c>
      <c r="F67" s="6" t="s">
        <v>996</v>
      </c>
      <c r="G67" s="6" t="s">
        <v>1263</v>
      </c>
      <c r="H67" s="14">
        <v>0</v>
      </c>
      <c r="I67" s="13">
        <f t="shared" ref="I67:I130" si="1">J67*1.25</f>
        <v>297.5</v>
      </c>
      <c r="J67" s="6" t="s">
        <v>1294</v>
      </c>
    </row>
    <row r="68" spans="1:10" x14ac:dyDescent="0.3">
      <c r="A68" s="6" t="s">
        <v>1892</v>
      </c>
      <c r="B68" s="6" t="s">
        <v>572</v>
      </c>
      <c r="C68" s="6" t="s">
        <v>570</v>
      </c>
      <c r="D68" s="6">
        <v>1</v>
      </c>
      <c r="E68" s="6">
        <v>2</v>
      </c>
      <c r="F68" s="6" t="s">
        <v>1794</v>
      </c>
      <c r="G68" s="6" t="s">
        <v>1880</v>
      </c>
      <c r="H68" s="14">
        <v>0</v>
      </c>
      <c r="I68" s="13">
        <f t="shared" si="1"/>
        <v>156.25</v>
      </c>
      <c r="J68" s="6" t="s">
        <v>1765</v>
      </c>
    </row>
    <row r="69" spans="1:10" x14ac:dyDescent="0.3">
      <c r="A69" s="6" t="s">
        <v>1893</v>
      </c>
      <c r="B69" s="6" t="s">
        <v>572</v>
      </c>
      <c r="C69" s="6" t="s">
        <v>570</v>
      </c>
      <c r="D69" s="6">
        <v>1</v>
      </c>
      <c r="E69" s="6">
        <v>2</v>
      </c>
      <c r="F69" s="6" t="s">
        <v>996</v>
      </c>
      <c r="G69" s="6" t="s">
        <v>1263</v>
      </c>
      <c r="H69" s="14">
        <v>0</v>
      </c>
      <c r="I69" s="13">
        <f t="shared" si="1"/>
        <v>312.5</v>
      </c>
      <c r="J69" s="6" t="s">
        <v>1798</v>
      </c>
    </row>
    <row r="70" spans="1:10" x14ac:dyDescent="0.3">
      <c r="A70" s="6" t="s">
        <v>1894</v>
      </c>
      <c r="B70" s="6" t="s">
        <v>603</v>
      </c>
      <c r="C70" s="6" t="s">
        <v>601</v>
      </c>
      <c r="D70" s="6">
        <v>1</v>
      </c>
      <c r="E70" s="6">
        <v>2</v>
      </c>
      <c r="F70" s="6" t="s">
        <v>1833</v>
      </c>
      <c r="G70" s="6" t="s">
        <v>978</v>
      </c>
      <c r="H70" s="14">
        <v>0</v>
      </c>
      <c r="I70" s="13">
        <f t="shared" si="1"/>
        <v>625</v>
      </c>
      <c r="J70" s="6" t="s">
        <v>1831</v>
      </c>
    </row>
    <row r="71" spans="1:10" x14ac:dyDescent="0.3">
      <c r="A71" s="6" t="s">
        <v>1895</v>
      </c>
      <c r="B71" s="6" t="s">
        <v>601</v>
      </c>
      <c r="C71" s="6" t="s">
        <v>599</v>
      </c>
      <c r="D71" s="6">
        <v>1</v>
      </c>
      <c r="E71" s="6">
        <v>2</v>
      </c>
      <c r="F71" s="6" t="s">
        <v>996</v>
      </c>
      <c r="G71" s="6" t="s">
        <v>1263</v>
      </c>
      <c r="H71" s="14">
        <v>0</v>
      </c>
      <c r="I71" s="13">
        <f t="shared" si="1"/>
        <v>312.5</v>
      </c>
      <c r="J71" s="6" t="s">
        <v>1798</v>
      </c>
    </row>
    <row r="72" spans="1:10" x14ac:dyDescent="0.3">
      <c r="A72" s="6" t="s">
        <v>1896</v>
      </c>
      <c r="B72" s="6" t="s">
        <v>603</v>
      </c>
      <c r="C72" s="6" t="s">
        <v>601</v>
      </c>
      <c r="D72" s="6">
        <v>1</v>
      </c>
      <c r="E72" s="6">
        <v>2</v>
      </c>
      <c r="F72" s="6" t="s">
        <v>1829</v>
      </c>
      <c r="G72" s="6" t="s">
        <v>1897</v>
      </c>
      <c r="H72" s="14">
        <v>0</v>
      </c>
      <c r="I72" s="13">
        <f t="shared" si="1"/>
        <v>625</v>
      </c>
      <c r="J72" s="6" t="s">
        <v>1831</v>
      </c>
    </row>
    <row r="73" spans="1:10" x14ac:dyDescent="0.3">
      <c r="A73" s="6" t="s">
        <v>1898</v>
      </c>
      <c r="B73" s="6" t="s">
        <v>643</v>
      </c>
      <c r="C73" s="6" t="s">
        <v>641</v>
      </c>
      <c r="D73" s="6">
        <v>1</v>
      </c>
      <c r="E73" s="6">
        <v>2</v>
      </c>
      <c r="F73" s="6" t="s">
        <v>1833</v>
      </c>
      <c r="G73" s="6" t="s">
        <v>978</v>
      </c>
      <c r="H73" s="14">
        <v>0</v>
      </c>
      <c r="I73" s="13">
        <f t="shared" si="1"/>
        <v>625</v>
      </c>
      <c r="J73" s="6" t="s">
        <v>1831</v>
      </c>
    </row>
    <row r="74" spans="1:10" x14ac:dyDescent="0.3">
      <c r="A74" s="6" t="s">
        <v>1899</v>
      </c>
      <c r="B74" s="6" t="s">
        <v>653</v>
      </c>
      <c r="C74" s="6" t="s">
        <v>651</v>
      </c>
      <c r="D74" s="6">
        <v>1</v>
      </c>
      <c r="E74" s="6">
        <v>2</v>
      </c>
      <c r="F74" s="6" t="s">
        <v>1819</v>
      </c>
      <c r="G74" s="6" t="s">
        <v>1033</v>
      </c>
      <c r="H74" s="14">
        <v>0</v>
      </c>
      <c r="I74" s="13">
        <f t="shared" si="1"/>
        <v>312.5</v>
      </c>
      <c r="J74" s="6" t="s">
        <v>1798</v>
      </c>
    </row>
    <row r="75" spans="1:10" x14ac:dyDescent="0.3">
      <c r="A75" s="6" t="s">
        <v>1900</v>
      </c>
      <c r="B75" s="6" t="s">
        <v>653</v>
      </c>
      <c r="C75" s="6" t="s">
        <v>651</v>
      </c>
      <c r="D75" s="6">
        <v>1</v>
      </c>
      <c r="E75" s="6">
        <v>2</v>
      </c>
      <c r="F75" s="6" t="s">
        <v>1819</v>
      </c>
      <c r="G75" s="6" t="s">
        <v>1901</v>
      </c>
      <c r="H75" s="14">
        <v>0</v>
      </c>
      <c r="I75" s="13">
        <f t="shared" si="1"/>
        <v>312.5</v>
      </c>
      <c r="J75" s="6" t="s">
        <v>1798</v>
      </c>
    </row>
    <row r="76" spans="1:10" x14ac:dyDescent="0.3">
      <c r="A76" s="6" t="s">
        <v>1902</v>
      </c>
      <c r="B76" s="6" t="s">
        <v>669</v>
      </c>
      <c r="C76" s="6" t="s">
        <v>667</v>
      </c>
      <c r="D76" s="6">
        <v>1</v>
      </c>
      <c r="E76" s="6">
        <v>2</v>
      </c>
      <c r="F76" s="6" t="s">
        <v>996</v>
      </c>
      <c r="G76" s="6" t="s">
        <v>1263</v>
      </c>
      <c r="H76" s="14">
        <v>0</v>
      </c>
      <c r="I76" s="13">
        <f t="shared" si="1"/>
        <v>297.5</v>
      </c>
      <c r="J76" s="6" t="s">
        <v>1294</v>
      </c>
    </row>
    <row r="77" spans="1:10" x14ac:dyDescent="0.3">
      <c r="A77" s="6" t="s">
        <v>1903</v>
      </c>
      <c r="B77" s="6" t="s">
        <v>669</v>
      </c>
      <c r="C77" s="6" t="s">
        <v>667</v>
      </c>
      <c r="D77" s="6">
        <v>1</v>
      </c>
      <c r="E77" s="6">
        <v>2</v>
      </c>
      <c r="F77" s="6" t="s">
        <v>1904</v>
      </c>
      <c r="G77" s="6" t="s">
        <v>1905</v>
      </c>
      <c r="H77" s="14">
        <v>0</v>
      </c>
      <c r="I77" s="13">
        <f t="shared" si="1"/>
        <v>312.5</v>
      </c>
      <c r="J77" s="6" t="s">
        <v>1798</v>
      </c>
    </row>
    <row r="78" spans="1:10" x14ac:dyDescent="0.3">
      <c r="A78" s="6" t="s">
        <v>1906</v>
      </c>
      <c r="B78" s="6" t="s">
        <v>705</v>
      </c>
      <c r="C78" s="6" t="s">
        <v>703</v>
      </c>
      <c r="D78" s="6">
        <v>1</v>
      </c>
      <c r="E78" s="6">
        <v>2</v>
      </c>
      <c r="F78" s="6" t="s">
        <v>1907</v>
      </c>
      <c r="G78" s="6" t="s">
        <v>1795</v>
      </c>
      <c r="H78" s="14">
        <v>0</v>
      </c>
      <c r="I78" s="13">
        <f t="shared" si="1"/>
        <v>156.25</v>
      </c>
      <c r="J78" s="6" t="s">
        <v>1765</v>
      </c>
    </row>
    <row r="79" spans="1:10" x14ac:dyDescent="0.3">
      <c r="A79" s="6" t="s">
        <v>1908</v>
      </c>
      <c r="B79" s="6" t="s">
        <v>705</v>
      </c>
      <c r="C79" s="6" t="s">
        <v>703</v>
      </c>
      <c r="D79" s="6">
        <v>1</v>
      </c>
      <c r="E79" s="6">
        <v>2</v>
      </c>
      <c r="F79" s="6" t="s">
        <v>1909</v>
      </c>
      <c r="G79" s="6" t="s">
        <v>1795</v>
      </c>
      <c r="H79" s="14">
        <v>0</v>
      </c>
      <c r="I79" s="13">
        <f t="shared" si="1"/>
        <v>156.25</v>
      </c>
      <c r="J79" s="6" t="s">
        <v>1765</v>
      </c>
    </row>
    <row r="80" spans="1:10" x14ac:dyDescent="0.3">
      <c r="A80" s="6" t="s">
        <v>1910</v>
      </c>
      <c r="B80" s="6" t="s">
        <v>733</v>
      </c>
      <c r="C80" s="6" t="s">
        <v>731</v>
      </c>
      <c r="D80" s="6">
        <v>1</v>
      </c>
      <c r="E80" s="6">
        <v>2</v>
      </c>
      <c r="F80" s="6" t="s">
        <v>996</v>
      </c>
      <c r="G80" s="6" t="s">
        <v>1263</v>
      </c>
      <c r="H80" s="14">
        <v>0</v>
      </c>
      <c r="I80" s="13">
        <f t="shared" si="1"/>
        <v>312.5</v>
      </c>
      <c r="J80" s="6" t="s">
        <v>1798</v>
      </c>
    </row>
    <row r="81" spans="1:10" x14ac:dyDescent="0.3">
      <c r="A81" s="6" t="s">
        <v>1911</v>
      </c>
      <c r="B81" s="6" t="s">
        <v>750</v>
      </c>
      <c r="C81" s="6" t="s">
        <v>748</v>
      </c>
      <c r="D81" s="6">
        <v>1</v>
      </c>
      <c r="E81" s="6">
        <v>2</v>
      </c>
      <c r="F81" s="6" t="s">
        <v>1912</v>
      </c>
      <c r="G81" s="6" t="s">
        <v>1913</v>
      </c>
      <c r="H81" s="14">
        <v>0</v>
      </c>
      <c r="I81" s="13">
        <f t="shared" si="1"/>
        <v>297.5</v>
      </c>
      <c r="J81" s="6" t="s">
        <v>1294</v>
      </c>
    </row>
    <row r="82" spans="1:10" x14ac:dyDescent="0.3">
      <c r="A82" s="6" t="s">
        <v>1914</v>
      </c>
      <c r="B82" s="6" t="s">
        <v>750</v>
      </c>
      <c r="C82" s="6" t="s">
        <v>748</v>
      </c>
      <c r="D82" s="6">
        <v>1</v>
      </c>
      <c r="E82" s="6">
        <v>2</v>
      </c>
      <c r="F82" s="6" t="s">
        <v>1912</v>
      </c>
      <c r="G82" s="6" t="s">
        <v>1913</v>
      </c>
      <c r="H82" s="14">
        <v>0</v>
      </c>
      <c r="I82" s="13">
        <f t="shared" si="1"/>
        <v>297.5</v>
      </c>
      <c r="J82" s="6" t="s">
        <v>1294</v>
      </c>
    </row>
    <row r="83" spans="1:10" x14ac:dyDescent="0.3">
      <c r="A83" s="6" t="s">
        <v>1915</v>
      </c>
      <c r="B83" s="6" t="s">
        <v>808</v>
      </c>
      <c r="C83" s="6" t="s">
        <v>805</v>
      </c>
      <c r="D83" s="6">
        <v>1</v>
      </c>
      <c r="E83" s="6">
        <v>2</v>
      </c>
      <c r="F83" s="6" t="s">
        <v>1829</v>
      </c>
      <c r="G83" s="6" t="s">
        <v>1916</v>
      </c>
      <c r="H83" s="14">
        <v>0</v>
      </c>
      <c r="I83" s="13">
        <f t="shared" si="1"/>
        <v>625</v>
      </c>
      <c r="J83" s="6" t="s">
        <v>1831</v>
      </c>
    </row>
    <row r="84" spans="1:10" x14ac:dyDescent="0.3">
      <c r="A84" s="6" t="s">
        <v>1917</v>
      </c>
      <c r="B84" s="6" t="s">
        <v>808</v>
      </c>
      <c r="C84" s="6" t="s">
        <v>805</v>
      </c>
      <c r="D84" s="6">
        <v>1</v>
      </c>
      <c r="E84" s="6">
        <v>2</v>
      </c>
      <c r="F84" s="6" t="s">
        <v>1829</v>
      </c>
      <c r="G84" s="6" t="s">
        <v>1916</v>
      </c>
      <c r="H84" s="14">
        <v>0</v>
      </c>
      <c r="I84" s="13">
        <f t="shared" si="1"/>
        <v>625</v>
      </c>
      <c r="J84" s="6" t="s">
        <v>1831</v>
      </c>
    </row>
    <row r="85" spans="1:10" x14ac:dyDescent="0.3">
      <c r="A85" s="6" t="s">
        <v>1918</v>
      </c>
      <c r="B85" s="6" t="s">
        <v>808</v>
      </c>
      <c r="C85" s="6" t="s">
        <v>805</v>
      </c>
      <c r="D85" s="6">
        <v>1</v>
      </c>
      <c r="E85" s="6">
        <v>2</v>
      </c>
      <c r="F85" s="6" t="s">
        <v>1829</v>
      </c>
      <c r="G85" s="6" t="s">
        <v>978</v>
      </c>
      <c r="H85" s="14">
        <v>0</v>
      </c>
      <c r="I85" s="13">
        <f t="shared" si="1"/>
        <v>687.5</v>
      </c>
      <c r="J85" s="6" t="s">
        <v>1919</v>
      </c>
    </row>
    <row r="86" spans="1:10" x14ac:dyDescent="0.3">
      <c r="A86" s="6" t="s">
        <v>1920</v>
      </c>
      <c r="B86" s="6" t="s">
        <v>808</v>
      </c>
      <c r="C86" s="6" t="s">
        <v>807</v>
      </c>
      <c r="D86" s="6">
        <v>1</v>
      </c>
      <c r="E86" s="6">
        <v>2</v>
      </c>
      <c r="F86" s="6" t="s">
        <v>995</v>
      </c>
      <c r="G86" s="6" t="s">
        <v>1022</v>
      </c>
      <c r="H86" s="14">
        <v>0</v>
      </c>
      <c r="I86" s="13">
        <f t="shared" si="1"/>
        <v>727.5</v>
      </c>
      <c r="J86" s="6" t="s">
        <v>1921</v>
      </c>
    </row>
    <row r="87" spans="1:10" x14ac:dyDescent="0.3">
      <c r="A87" s="6" t="s">
        <v>1922</v>
      </c>
      <c r="B87" s="6" t="s">
        <v>48</v>
      </c>
      <c r="C87" s="6" t="s">
        <v>51</v>
      </c>
      <c r="D87" s="6">
        <v>1</v>
      </c>
      <c r="E87" s="6">
        <v>2</v>
      </c>
      <c r="F87" s="6">
        <v>3.5099999999999997E-3</v>
      </c>
      <c r="G87" s="6">
        <v>0.22176000000000001</v>
      </c>
      <c r="H87" s="14">
        <v>0</v>
      </c>
      <c r="I87" s="13">
        <f t="shared" si="1"/>
        <v>112.5</v>
      </c>
      <c r="J87" s="6" t="s">
        <v>1923</v>
      </c>
    </row>
    <row r="88" spans="1:10" x14ac:dyDescent="0.3">
      <c r="A88" s="13" t="s">
        <v>3127</v>
      </c>
      <c r="B88" s="13" t="s">
        <v>3128</v>
      </c>
      <c r="C88" s="13" t="s">
        <v>59</v>
      </c>
      <c r="D88" s="13">
        <v>1</v>
      </c>
      <c r="E88" s="13">
        <v>2</v>
      </c>
      <c r="F88" s="13">
        <v>7.3000000000000001E-3</v>
      </c>
      <c r="G88" s="13">
        <v>0.25</v>
      </c>
      <c r="H88" s="14">
        <v>0</v>
      </c>
      <c r="I88" s="13">
        <f t="shared" si="1"/>
        <v>75</v>
      </c>
      <c r="J88" s="13">
        <v>60</v>
      </c>
    </row>
    <row r="89" spans="1:10" x14ac:dyDescent="0.3">
      <c r="A89" s="13" t="s">
        <v>3129</v>
      </c>
      <c r="B89" s="13" t="s">
        <v>3128</v>
      </c>
      <c r="C89" s="13" t="s">
        <v>59</v>
      </c>
      <c r="D89" s="13">
        <v>1</v>
      </c>
      <c r="E89" s="13">
        <v>2</v>
      </c>
      <c r="F89" s="13">
        <v>7.3000000000000001E-3</v>
      </c>
      <c r="G89" s="13">
        <v>0.25</v>
      </c>
      <c r="H89" s="14">
        <v>0</v>
      </c>
      <c r="I89" s="13">
        <f t="shared" si="1"/>
        <v>75</v>
      </c>
      <c r="J89" s="13">
        <v>60</v>
      </c>
    </row>
    <row r="90" spans="1:10" x14ac:dyDescent="0.3">
      <c r="A90" s="6" t="s">
        <v>1924</v>
      </c>
      <c r="B90" s="6" t="s">
        <v>62</v>
      </c>
      <c r="C90" s="6" t="s">
        <v>64</v>
      </c>
      <c r="D90" s="6">
        <v>1</v>
      </c>
      <c r="E90" s="6">
        <v>2</v>
      </c>
      <c r="F90" s="6">
        <v>3.5099999999999997E-3</v>
      </c>
      <c r="G90" s="6">
        <v>0.22176000000000001</v>
      </c>
      <c r="H90" s="14">
        <v>0</v>
      </c>
      <c r="I90" s="13">
        <f t="shared" si="1"/>
        <v>112.5</v>
      </c>
      <c r="J90" s="6" t="s">
        <v>1923</v>
      </c>
    </row>
    <row r="91" spans="1:10" x14ac:dyDescent="0.3">
      <c r="A91" s="6" t="s">
        <v>1925</v>
      </c>
      <c r="B91" s="6" t="s">
        <v>62</v>
      </c>
      <c r="C91" s="6" t="s">
        <v>64</v>
      </c>
      <c r="D91" s="6">
        <v>1</v>
      </c>
      <c r="E91" s="6">
        <v>2</v>
      </c>
      <c r="F91" s="6">
        <v>3.5099999999999997E-3</v>
      </c>
      <c r="G91" s="6">
        <v>0.22256999999999999</v>
      </c>
      <c r="H91" s="14">
        <v>0</v>
      </c>
      <c r="I91" s="13">
        <f t="shared" si="1"/>
        <v>112.5</v>
      </c>
      <c r="J91" s="6" t="s">
        <v>1923</v>
      </c>
    </row>
    <row r="92" spans="1:10" x14ac:dyDescent="0.3">
      <c r="A92" s="6" t="s">
        <v>1926</v>
      </c>
      <c r="B92" s="6" t="s">
        <v>587</v>
      </c>
      <c r="C92" s="6" t="s">
        <v>589</v>
      </c>
      <c r="D92" s="6">
        <v>1</v>
      </c>
      <c r="E92" s="6">
        <v>2</v>
      </c>
      <c r="F92" s="6">
        <v>3.5099999999999997E-3</v>
      </c>
      <c r="G92" s="6">
        <v>0.22517999999999996</v>
      </c>
      <c r="H92" s="14">
        <v>0</v>
      </c>
      <c r="I92" s="13">
        <f t="shared" si="1"/>
        <v>112.5</v>
      </c>
      <c r="J92" s="6" t="s">
        <v>1923</v>
      </c>
    </row>
    <row r="93" spans="1:10" x14ac:dyDescent="0.3">
      <c r="A93" s="6" t="s">
        <v>1927</v>
      </c>
      <c r="B93" s="6" t="s">
        <v>587</v>
      </c>
      <c r="C93" s="6" t="s">
        <v>589</v>
      </c>
      <c r="D93" s="6">
        <v>1</v>
      </c>
      <c r="E93" s="6">
        <v>2</v>
      </c>
      <c r="F93" s="6">
        <v>3.5099999999999997E-3</v>
      </c>
      <c r="G93" s="6">
        <v>0.22517999999999996</v>
      </c>
      <c r="H93" s="14">
        <v>0</v>
      </c>
      <c r="I93" s="13">
        <f t="shared" si="1"/>
        <v>112.5</v>
      </c>
      <c r="J93" s="6" t="s">
        <v>1923</v>
      </c>
    </row>
    <row r="94" spans="1:10" x14ac:dyDescent="0.3">
      <c r="A94" s="6" t="s">
        <v>1928</v>
      </c>
      <c r="B94" s="6" t="s">
        <v>135</v>
      </c>
      <c r="C94" s="6" t="s">
        <v>137</v>
      </c>
      <c r="D94" s="6">
        <v>1</v>
      </c>
      <c r="E94" s="6">
        <v>2</v>
      </c>
      <c r="F94" s="6">
        <v>3.5099999999999997E-3</v>
      </c>
      <c r="G94" s="6">
        <v>0.22023000000000001</v>
      </c>
      <c r="H94" s="14">
        <v>0</v>
      </c>
      <c r="I94" s="13">
        <f t="shared" si="1"/>
        <v>112.5</v>
      </c>
      <c r="J94" s="6" t="s">
        <v>1923</v>
      </c>
    </row>
    <row r="95" spans="1:10" x14ac:dyDescent="0.3">
      <c r="A95" s="6" t="s">
        <v>1929</v>
      </c>
      <c r="B95" s="6" t="s">
        <v>135</v>
      </c>
      <c r="C95" s="6" t="s">
        <v>137</v>
      </c>
      <c r="D95" s="6">
        <v>1</v>
      </c>
      <c r="E95" s="6">
        <v>2</v>
      </c>
      <c r="F95" s="6">
        <v>3.5099999999999997E-3</v>
      </c>
      <c r="G95" s="6">
        <v>0.22166999999999998</v>
      </c>
      <c r="H95" s="14">
        <v>0</v>
      </c>
      <c r="I95" s="13">
        <f t="shared" si="1"/>
        <v>112.5</v>
      </c>
      <c r="J95" s="6" t="s">
        <v>1923</v>
      </c>
    </row>
    <row r="96" spans="1:10" x14ac:dyDescent="0.3">
      <c r="A96" s="6" t="s">
        <v>1930</v>
      </c>
      <c r="B96" s="6" t="s">
        <v>135</v>
      </c>
      <c r="C96" s="6" t="s">
        <v>137</v>
      </c>
      <c r="D96" s="6">
        <v>1</v>
      </c>
      <c r="E96" s="6">
        <v>2</v>
      </c>
      <c r="F96" s="6">
        <v>5.8499999999999993E-3</v>
      </c>
      <c r="G96" s="6">
        <v>0.26036999999999999</v>
      </c>
      <c r="H96" s="14">
        <v>0</v>
      </c>
      <c r="I96" s="13">
        <f t="shared" si="1"/>
        <v>112.5</v>
      </c>
      <c r="J96" s="6" t="s">
        <v>1923</v>
      </c>
    </row>
    <row r="97" spans="1:10" x14ac:dyDescent="0.3">
      <c r="A97" s="6" t="s">
        <v>1931</v>
      </c>
      <c r="B97" s="6" t="s">
        <v>135</v>
      </c>
      <c r="C97" s="6" t="s">
        <v>137</v>
      </c>
      <c r="D97" s="6">
        <v>1</v>
      </c>
      <c r="E97" s="6">
        <v>2</v>
      </c>
      <c r="F97" s="6">
        <v>5.8499999999999993E-3</v>
      </c>
      <c r="G97" s="6">
        <v>0.25802999999999998</v>
      </c>
      <c r="H97" s="14">
        <v>0</v>
      </c>
      <c r="I97" s="13">
        <f t="shared" si="1"/>
        <v>112.5</v>
      </c>
      <c r="J97" s="6" t="s">
        <v>1923</v>
      </c>
    </row>
    <row r="98" spans="1:10" x14ac:dyDescent="0.3">
      <c r="A98" s="6" t="s">
        <v>1932</v>
      </c>
      <c r="B98" s="6" t="s">
        <v>94</v>
      </c>
      <c r="C98" s="6" t="s">
        <v>96</v>
      </c>
      <c r="D98" s="6">
        <v>1</v>
      </c>
      <c r="E98" s="6">
        <v>2</v>
      </c>
      <c r="F98" s="6">
        <v>5.13E-3</v>
      </c>
      <c r="G98" s="6">
        <v>0.12399</v>
      </c>
      <c r="H98" s="14">
        <v>0</v>
      </c>
      <c r="I98" s="13">
        <f t="shared" si="1"/>
        <v>37.5</v>
      </c>
      <c r="J98" s="6" t="s">
        <v>1933</v>
      </c>
    </row>
    <row r="99" spans="1:10" x14ac:dyDescent="0.3">
      <c r="A99" s="6" t="s">
        <v>1934</v>
      </c>
      <c r="B99" s="6" t="s">
        <v>94</v>
      </c>
      <c r="C99" s="6" t="s">
        <v>96</v>
      </c>
      <c r="D99" s="6">
        <v>1</v>
      </c>
      <c r="E99" s="6">
        <v>2</v>
      </c>
      <c r="F99" s="6">
        <v>5.6999999999999993E-3</v>
      </c>
      <c r="G99" s="6">
        <v>0.1242</v>
      </c>
      <c r="H99" s="14">
        <v>0</v>
      </c>
      <c r="I99" s="13">
        <f t="shared" si="1"/>
        <v>37.5</v>
      </c>
      <c r="J99" s="6" t="s">
        <v>1933</v>
      </c>
    </row>
    <row r="100" spans="1:10" x14ac:dyDescent="0.3">
      <c r="A100" s="6" t="s">
        <v>1935</v>
      </c>
      <c r="B100" s="6" t="s">
        <v>94</v>
      </c>
      <c r="C100" s="6" t="s">
        <v>96</v>
      </c>
      <c r="D100" s="6">
        <v>1</v>
      </c>
      <c r="E100" s="6">
        <v>2</v>
      </c>
      <c r="F100" s="6">
        <v>5.6999999999999993E-3</v>
      </c>
      <c r="G100" s="6">
        <v>0.12501000000000001</v>
      </c>
      <c r="H100" s="14">
        <v>0</v>
      </c>
      <c r="I100" s="13">
        <f t="shared" si="1"/>
        <v>37.5</v>
      </c>
      <c r="J100" s="6" t="s">
        <v>1933</v>
      </c>
    </row>
    <row r="101" spans="1:10" x14ac:dyDescent="0.3">
      <c r="A101" s="6" t="s">
        <v>1936</v>
      </c>
      <c r="B101" s="6" t="s">
        <v>94</v>
      </c>
      <c r="C101" s="6" t="s">
        <v>96</v>
      </c>
      <c r="D101" s="6">
        <v>1</v>
      </c>
      <c r="E101" s="6">
        <v>2</v>
      </c>
      <c r="F101" s="6">
        <v>5.6999999999999993E-3</v>
      </c>
      <c r="G101" s="6">
        <v>0.1245</v>
      </c>
      <c r="H101" s="14">
        <v>0</v>
      </c>
      <c r="I101" s="13">
        <f t="shared" si="1"/>
        <v>37.5</v>
      </c>
      <c r="J101" s="6" t="s">
        <v>1933</v>
      </c>
    </row>
    <row r="102" spans="1:10" x14ac:dyDescent="0.3">
      <c r="A102" s="6" t="s">
        <v>1937</v>
      </c>
      <c r="B102" s="6" t="s">
        <v>139</v>
      </c>
      <c r="C102" s="6" t="s">
        <v>141</v>
      </c>
      <c r="D102" s="6">
        <v>1</v>
      </c>
      <c r="E102" s="6">
        <v>2</v>
      </c>
      <c r="F102" s="6">
        <v>3.3300000000000001E-3</v>
      </c>
      <c r="G102" s="6">
        <v>0.21771000000000001</v>
      </c>
      <c r="H102" s="14">
        <v>0</v>
      </c>
      <c r="I102" s="13">
        <f t="shared" si="1"/>
        <v>112.5</v>
      </c>
      <c r="J102" s="6" t="s">
        <v>1923</v>
      </c>
    </row>
    <row r="103" spans="1:10" x14ac:dyDescent="0.3">
      <c r="A103" s="6" t="s">
        <v>1938</v>
      </c>
      <c r="B103" s="6" t="s">
        <v>139</v>
      </c>
      <c r="C103" s="6" t="s">
        <v>141</v>
      </c>
      <c r="D103" s="6">
        <v>1</v>
      </c>
      <c r="E103" s="6">
        <v>2</v>
      </c>
      <c r="F103" s="6">
        <v>3.4200000000000003E-3</v>
      </c>
      <c r="G103" s="6">
        <v>0.21716999999999997</v>
      </c>
      <c r="H103" s="14">
        <v>0</v>
      </c>
      <c r="I103" s="13">
        <f t="shared" si="1"/>
        <v>112.5</v>
      </c>
      <c r="J103" s="6" t="s">
        <v>1923</v>
      </c>
    </row>
    <row r="104" spans="1:10" x14ac:dyDescent="0.3">
      <c r="A104" s="6" t="s">
        <v>1939</v>
      </c>
      <c r="B104" s="6" t="s">
        <v>143</v>
      </c>
      <c r="C104" s="6" t="s">
        <v>145</v>
      </c>
      <c r="D104" s="6">
        <v>1</v>
      </c>
      <c r="E104" s="6">
        <v>2</v>
      </c>
      <c r="F104" s="6">
        <v>3.5099999999999997E-3</v>
      </c>
      <c r="G104" s="6">
        <v>0.22149000000000002</v>
      </c>
      <c r="H104" s="14">
        <v>0</v>
      </c>
      <c r="I104" s="13">
        <f t="shared" si="1"/>
        <v>112.5</v>
      </c>
      <c r="J104" s="6" t="s">
        <v>1923</v>
      </c>
    </row>
    <row r="105" spans="1:10" x14ac:dyDescent="0.3">
      <c r="A105" s="6" t="s">
        <v>1940</v>
      </c>
      <c r="B105" s="6" t="s">
        <v>143</v>
      </c>
      <c r="C105" s="6" t="s">
        <v>145</v>
      </c>
      <c r="D105" s="6">
        <v>1</v>
      </c>
      <c r="E105" s="6">
        <v>2</v>
      </c>
      <c r="F105" s="6">
        <v>3.5099999999999997E-3</v>
      </c>
      <c r="G105" s="6">
        <v>0.22149000000000002</v>
      </c>
      <c r="H105" s="14">
        <v>0</v>
      </c>
      <c r="I105" s="13">
        <f t="shared" si="1"/>
        <v>112.5</v>
      </c>
      <c r="J105" s="6" t="s">
        <v>1923</v>
      </c>
    </row>
    <row r="106" spans="1:10" x14ac:dyDescent="0.3">
      <c r="A106" s="6" t="s">
        <v>1941</v>
      </c>
      <c r="B106" s="6" t="s">
        <v>157</v>
      </c>
      <c r="C106" s="6" t="s">
        <v>159</v>
      </c>
      <c r="D106" s="6">
        <v>1</v>
      </c>
      <c r="E106" s="6">
        <v>2</v>
      </c>
      <c r="F106" s="6">
        <v>3.5000000000000005E-3</v>
      </c>
      <c r="G106" s="6">
        <v>0.16</v>
      </c>
      <c r="H106" s="14">
        <v>0</v>
      </c>
      <c r="I106" s="13">
        <f t="shared" si="1"/>
        <v>125</v>
      </c>
      <c r="J106" s="6" t="s">
        <v>1382</v>
      </c>
    </row>
    <row r="107" spans="1:10" x14ac:dyDescent="0.3">
      <c r="A107" s="6" t="s">
        <v>1942</v>
      </c>
      <c r="B107" s="6" t="s">
        <v>190</v>
      </c>
      <c r="C107" s="6" t="s">
        <v>192</v>
      </c>
      <c r="D107" s="6">
        <v>1</v>
      </c>
      <c r="E107" s="6">
        <v>2</v>
      </c>
      <c r="F107" s="6">
        <v>3.5099999999999997E-3</v>
      </c>
      <c r="G107" s="6">
        <v>0.22320000000000001</v>
      </c>
      <c r="H107" s="14">
        <v>0</v>
      </c>
      <c r="I107" s="13">
        <f t="shared" si="1"/>
        <v>112.5</v>
      </c>
      <c r="J107" s="6" t="s">
        <v>1923</v>
      </c>
    </row>
    <row r="108" spans="1:10" x14ac:dyDescent="0.3">
      <c r="A108" s="6" t="s">
        <v>1943</v>
      </c>
      <c r="B108" s="6" t="s">
        <v>190</v>
      </c>
      <c r="C108" s="6" t="s">
        <v>192</v>
      </c>
      <c r="D108" s="6">
        <v>1</v>
      </c>
      <c r="E108" s="6">
        <v>2</v>
      </c>
      <c r="F108" s="6">
        <v>3.5099999999999997E-3</v>
      </c>
      <c r="G108" s="6">
        <v>0.22320000000000001</v>
      </c>
      <c r="H108" s="14">
        <v>0</v>
      </c>
      <c r="I108" s="13">
        <f t="shared" si="1"/>
        <v>112.5</v>
      </c>
      <c r="J108" s="6" t="s">
        <v>1923</v>
      </c>
    </row>
    <row r="109" spans="1:10" x14ac:dyDescent="0.3">
      <c r="A109" s="6" t="s">
        <v>1944</v>
      </c>
      <c r="B109" s="6" t="s">
        <v>222</v>
      </c>
      <c r="C109" s="6" t="s">
        <v>224</v>
      </c>
      <c r="D109" s="6">
        <v>1</v>
      </c>
      <c r="E109" s="6">
        <v>2</v>
      </c>
      <c r="F109" s="6">
        <v>3.3300000000000001E-3</v>
      </c>
      <c r="G109" s="6">
        <v>0.21797999999999998</v>
      </c>
      <c r="H109" s="14">
        <v>0</v>
      </c>
      <c r="I109" s="13">
        <f t="shared" si="1"/>
        <v>112.5</v>
      </c>
      <c r="J109" s="6" t="s">
        <v>1923</v>
      </c>
    </row>
    <row r="110" spans="1:10" x14ac:dyDescent="0.3">
      <c r="A110" s="6" t="s">
        <v>1945</v>
      </c>
      <c r="B110" s="6" t="s">
        <v>222</v>
      </c>
      <c r="C110" s="6" t="s">
        <v>224</v>
      </c>
      <c r="D110" s="6">
        <v>1</v>
      </c>
      <c r="E110" s="6">
        <v>2</v>
      </c>
      <c r="F110" s="6">
        <v>3.4200000000000003E-3</v>
      </c>
      <c r="G110" s="6">
        <v>0.21771000000000001</v>
      </c>
      <c r="H110" s="14">
        <v>0</v>
      </c>
      <c r="I110" s="13">
        <f t="shared" si="1"/>
        <v>112.5</v>
      </c>
      <c r="J110" s="6" t="s">
        <v>1923</v>
      </c>
    </row>
    <row r="111" spans="1:10" x14ac:dyDescent="0.3">
      <c r="A111" s="6" t="s">
        <v>1946</v>
      </c>
      <c r="B111" s="6" t="s">
        <v>268</v>
      </c>
      <c r="C111" s="6" t="s">
        <v>270</v>
      </c>
      <c r="D111" s="6">
        <v>1</v>
      </c>
      <c r="E111" s="6">
        <v>2</v>
      </c>
      <c r="F111" s="6">
        <v>4.4400000000000004E-3</v>
      </c>
      <c r="G111" s="6">
        <v>0.15071999999999999</v>
      </c>
      <c r="H111" s="14">
        <v>0</v>
      </c>
      <c r="I111" s="13">
        <f t="shared" si="1"/>
        <v>75</v>
      </c>
      <c r="J111" s="6" t="s">
        <v>1947</v>
      </c>
    </row>
    <row r="112" spans="1:10" x14ac:dyDescent="0.3">
      <c r="A112" s="6" t="s">
        <v>1948</v>
      </c>
      <c r="B112" s="6" t="s">
        <v>268</v>
      </c>
      <c r="C112" s="6" t="s">
        <v>270</v>
      </c>
      <c r="D112" s="6">
        <v>1</v>
      </c>
      <c r="E112" s="6">
        <v>2</v>
      </c>
      <c r="F112" s="6">
        <v>4.4999999999999997E-3</v>
      </c>
      <c r="G112" s="6">
        <v>0.15048000000000003</v>
      </c>
      <c r="H112" s="14">
        <v>0</v>
      </c>
      <c r="I112" s="13">
        <f t="shared" si="1"/>
        <v>75</v>
      </c>
      <c r="J112" s="6" t="s">
        <v>1947</v>
      </c>
    </row>
    <row r="113" spans="1:10" x14ac:dyDescent="0.3">
      <c r="A113" s="6" t="s">
        <v>1949</v>
      </c>
      <c r="B113" s="6" t="s">
        <v>281</v>
      </c>
      <c r="C113" s="6" t="s">
        <v>285</v>
      </c>
      <c r="D113" s="6">
        <v>1</v>
      </c>
      <c r="E113" s="6">
        <v>2</v>
      </c>
      <c r="F113" s="6">
        <v>7.8299999999999984E-3</v>
      </c>
      <c r="G113" s="6">
        <v>0.23031000000000001</v>
      </c>
      <c r="H113" s="14">
        <v>0</v>
      </c>
      <c r="I113" s="13">
        <f t="shared" si="1"/>
        <v>112.5</v>
      </c>
      <c r="J113" s="6" t="s">
        <v>1923</v>
      </c>
    </row>
    <row r="114" spans="1:10" x14ac:dyDescent="0.3">
      <c r="A114" s="6" t="s">
        <v>1950</v>
      </c>
      <c r="B114" s="6" t="s">
        <v>281</v>
      </c>
      <c r="C114" s="6" t="s">
        <v>285</v>
      </c>
      <c r="D114" s="6">
        <v>1</v>
      </c>
      <c r="E114" s="6">
        <v>2</v>
      </c>
      <c r="F114" s="6">
        <v>7.8299999999999984E-3</v>
      </c>
      <c r="G114" s="6">
        <v>0.23156999999999997</v>
      </c>
      <c r="H114" s="14">
        <v>0</v>
      </c>
      <c r="I114" s="13">
        <f t="shared" si="1"/>
        <v>112.5</v>
      </c>
      <c r="J114" s="6" t="s">
        <v>1923</v>
      </c>
    </row>
    <row r="115" spans="1:10" x14ac:dyDescent="0.3">
      <c r="A115" s="6" t="s">
        <v>1951</v>
      </c>
      <c r="B115" s="6" t="s">
        <v>291</v>
      </c>
      <c r="C115" s="6" t="s">
        <v>293</v>
      </c>
      <c r="D115" s="6">
        <v>1</v>
      </c>
      <c r="E115" s="6">
        <v>2</v>
      </c>
      <c r="F115" s="6">
        <v>4.4400000000000004E-3</v>
      </c>
      <c r="G115" s="6">
        <v>0.15090000000000001</v>
      </c>
      <c r="H115" s="14">
        <v>0</v>
      </c>
      <c r="I115" s="13">
        <f t="shared" si="1"/>
        <v>75</v>
      </c>
      <c r="J115" s="6" t="s">
        <v>1947</v>
      </c>
    </row>
    <row r="116" spans="1:10" x14ac:dyDescent="0.3">
      <c r="A116" s="6" t="s">
        <v>1952</v>
      </c>
      <c r="B116" s="6" t="s">
        <v>291</v>
      </c>
      <c r="C116" s="6" t="s">
        <v>293</v>
      </c>
      <c r="D116" s="6">
        <v>1</v>
      </c>
      <c r="E116" s="6">
        <v>2</v>
      </c>
      <c r="F116" s="6">
        <v>4.4400000000000004E-3</v>
      </c>
      <c r="G116" s="6">
        <v>0.15048000000000003</v>
      </c>
      <c r="H116" s="14">
        <v>0</v>
      </c>
      <c r="I116" s="13">
        <f t="shared" si="1"/>
        <v>75</v>
      </c>
      <c r="J116" s="6" t="s">
        <v>1947</v>
      </c>
    </row>
    <row r="117" spans="1:10" x14ac:dyDescent="0.3">
      <c r="A117" s="6" t="s">
        <v>1953</v>
      </c>
      <c r="B117" s="6" t="s">
        <v>288</v>
      </c>
      <c r="C117" s="6" t="s">
        <v>290</v>
      </c>
      <c r="D117" s="6">
        <v>1</v>
      </c>
      <c r="E117" s="6">
        <v>2</v>
      </c>
      <c r="F117" s="6">
        <v>6.8250000000000003E-3</v>
      </c>
      <c r="G117" s="6">
        <v>0.14647500000000002</v>
      </c>
      <c r="H117" s="14">
        <v>0</v>
      </c>
      <c r="I117" s="13">
        <f t="shared" si="1"/>
        <v>93.75</v>
      </c>
      <c r="J117" s="6" t="s">
        <v>1179</v>
      </c>
    </row>
    <row r="118" spans="1:10" x14ac:dyDescent="0.3">
      <c r="A118" s="6" t="s">
        <v>1954</v>
      </c>
      <c r="B118" s="6" t="s">
        <v>288</v>
      </c>
      <c r="C118" s="6" t="s">
        <v>290</v>
      </c>
      <c r="D118" s="6">
        <v>1</v>
      </c>
      <c r="E118" s="6">
        <v>2</v>
      </c>
      <c r="F118" s="6">
        <v>6.8250000000000003E-3</v>
      </c>
      <c r="G118" s="6">
        <v>0.14752500000000002</v>
      </c>
      <c r="H118" s="14">
        <v>0</v>
      </c>
      <c r="I118" s="13">
        <f t="shared" si="1"/>
        <v>93.75</v>
      </c>
      <c r="J118" s="6" t="s">
        <v>1179</v>
      </c>
    </row>
    <row r="119" spans="1:10" x14ac:dyDescent="0.3">
      <c r="A119" s="6" t="s">
        <v>1955</v>
      </c>
      <c r="B119" s="6" t="s">
        <v>342</v>
      </c>
      <c r="C119" s="6" t="s">
        <v>344</v>
      </c>
      <c r="D119" s="6">
        <v>1</v>
      </c>
      <c r="E119" s="6">
        <v>2</v>
      </c>
      <c r="F119" s="6">
        <v>7.1400000000000005E-3</v>
      </c>
      <c r="G119" s="6">
        <v>0.21642000000000003</v>
      </c>
      <c r="H119" s="14">
        <v>0</v>
      </c>
      <c r="I119" s="13">
        <f t="shared" si="1"/>
        <v>75</v>
      </c>
      <c r="J119" s="6" t="s">
        <v>1947</v>
      </c>
    </row>
    <row r="120" spans="1:10" x14ac:dyDescent="0.3">
      <c r="A120" s="6" t="s">
        <v>1956</v>
      </c>
      <c r="B120" s="6" t="s">
        <v>342</v>
      </c>
      <c r="C120" s="6" t="s">
        <v>344</v>
      </c>
      <c r="D120" s="6">
        <v>1</v>
      </c>
      <c r="E120" s="6">
        <v>2</v>
      </c>
      <c r="F120" s="6">
        <v>7.1400000000000005E-3</v>
      </c>
      <c r="G120" s="6">
        <v>0.21948000000000001</v>
      </c>
      <c r="H120" s="14">
        <v>0</v>
      </c>
      <c r="I120" s="13">
        <f t="shared" si="1"/>
        <v>75</v>
      </c>
      <c r="J120" s="6" t="s">
        <v>1947</v>
      </c>
    </row>
    <row r="121" spans="1:10" x14ac:dyDescent="0.3">
      <c r="A121" s="6" t="s">
        <v>1957</v>
      </c>
      <c r="B121" s="6" t="s">
        <v>342</v>
      </c>
      <c r="C121" s="6" t="s">
        <v>344</v>
      </c>
      <c r="D121" s="6">
        <v>1</v>
      </c>
      <c r="E121" s="6">
        <v>2</v>
      </c>
      <c r="F121" s="6">
        <v>3.5999999999999999E-3</v>
      </c>
      <c r="G121" s="6">
        <v>0.21627000000000002</v>
      </c>
      <c r="H121" s="14">
        <v>0</v>
      </c>
      <c r="I121" s="13">
        <f t="shared" si="1"/>
        <v>112.5</v>
      </c>
      <c r="J121" s="6" t="s">
        <v>1923</v>
      </c>
    </row>
    <row r="122" spans="1:10" x14ac:dyDescent="0.3">
      <c r="A122" s="6" t="s">
        <v>1958</v>
      </c>
      <c r="B122" s="6" t="s">
        <v>342</v>
      </c>
      <c r="C122" s="6" t="s">
        <v>344</v>
      </c>
      <c r="D122" s="6">
        <v>1</v>
      </c>
      <c r="E122" s="6">
        <v>2</v>
      </c>
      <c r="F122" s="6">
        <v>7.1400000000000005E-3</v>
      </c>
      <c r="G122" s="6">
        <v>0.21948000000000001</v>
      </c>
      <c r="H122" s="14">
        <v>0</v>
      </c>
      <c r="I122" s="13">
        <f t="shared" si="1"/>
        <v>75</v>
      </c>
      <c r="J122" s="6" t="s">
        <v>1947</v>
      </c>
    </row>
    <row r="123" spans="1:10" x14ac:dyDescent="0.3">
      <c r="A123" s="6" t="s">
        <v>1959</v>
      </c>
      <c r="B123" s="6" t="s">
        <v>355</v>
      </c>
      <c r="C123" s="6" t="s">
        <v>357</v>
      </c>
      <c r="D123" s="6">
        <v>1</v>
      </c>
      <c r="E123" s="6">
        <v>2</v>
      </c>
      <c r="F123" s="6">
        <v>5.4900000000000001E-3</v>
      </c>
      <c r="G123" s="6">
        <v>0.21806999999999999</v>
      </c>
      <c r="H123" s="14">
        <v>0</v>
      </c>
      <c r="I123" s="13">
        <f t="shared" si="1"/>
        <v>112.5</v>
      </c>
      <c r="J123" s="6" t="s">
        <v>1923</v>
      </c>
    </row>
    <row r="124" spans="1:10" x14ac:dyDescent="0.3">
      <c r="A124" s="6" t="s">
        <v>1960</v>
      </c>
      <c r="B124" s="6" t="s">
        <v>355</v>
      </c>
      <c r="C124" s="6" t="s">
        <v>357</v>
      </c>
      <c r="D124" s="6">
        <v>1</v>
      </c>
      <c r="E124" s="6">
        <v>2</v>
      </c>
      <c r="F124" s="6">
        <v>5.4900000000000001E-3</v>
      </c>
      <c r="G124" s="6">
        <v>0.21834000000000001</v>
      </c>
      <c r="H124" s="14">
        <v>0</v>
      </c>
      <c r="I124" s="13">
        <f t="shared" si="1"/>
        <v>112.5</v>
      </c>
      <c r="J124" s="6" t="s">
        <v>1923</v>
      </c>
    </row>
    <row r="125" spans="1:10" x14ac:dyDescent="0.3">
      <c r="A125" s="6" t="s">
        <v>1961</v>
      </c>
      <c r="B125" s="6" t="s">
        <v>298</v>
      </c>
      <c r="C125" s="6" t="s">
        <v>299</v>
      </c>
      <c r="D125" s="6">
        <v>1</v>
      </c>
      <c r="E125" s="6">
        <v>2</v>
      </c>
      <c r="F125" s="6">
        <v>3.5099999999999997E-3</v>
      </c>
      <c r="G125" s="6">
        <v>0.22149000000000002</v>
      </c>
      <c r="H125" s="14">
        <v>0</v>
      </c>
      <c r="I125" s="13">
        <f t="shared" si="1"/>
        <v>112.5</v>
      </c>
      <c r="J125" s="6" t="s">
        <v>1923</v>
      </c>
    </row>
    <row r="126" spans="1:10" x14ac:dyDescent="0.3">
      <c r="A126" s="6" t="s">
        <v>1962</v>
      </c>
      <c r="B126" s="6" t="s">
        <v>367</v>
      </c>
      <c r="C126" s="6" t="s">
        <v>369</v>
      </c>
      <c r="D126" s="6">
        <v>1</v>
      </c>
      <c r="E126" s="6">
        <v>2</v>
      </c>
      <c r="F126" s="6">
        <v>7.8299999999999984E-3</v>
      </c>
      <c r="G126" s="6">
        <v>0.23094000000000001</v>
      </c>
      <c r="H126" s="14">
        <v>0</v>
      </c>
      <c r="I126" s="13">
        <f t="shared" si="1"/>
        <v>112.5</v>
      </c>
      <c r="J126" s="6" t="s">
        <v>1923</v>
      </c>
    </row>
    <row r="127" spans="1:10" x14ac:dyDescent="0.3">
      <c r="A127" s="6" t="s">
        <v>1963</v>
      </c>
      <c r="B127" s="6" t="s">
        <v>367</v>
      </c>
      <c r="C127" s="6" t="s">
        <v>369</v>
      </c>
      <c r="D127" s="6">
        <v>1</v>
      </c>
      <c r="E127" s="6">
        <v>2</v>
      </c>
      <c r="F127" s="6">
        <v>7.8299999999999984E-3</v>
      </c>
      <c r="G127" s="6">
        <v>0.23391000000000001</v>
      </c>
      <c r="H127" s="14">
        <v>0</v>
      </c>
      <c r="I127" s="13">
        <f t="shared" si="1"/>
        <v>112.5</v>
      </c>
      <c r="J127" s="6" t="s">
        <v>1923</v>
      </c>
    </row>
    <row r="128" spans="1:10" x14ac:dyDescent="0.3">
      <c r="A128" s="6" t="s">
        <v>1964</v>
      </c>
      <c r="B128" s="6" t="s">
        <v>371</v>
      </c>
      <c r="C128" s="6" t="s">
        <v>372</v>
      </c>
      <c r="D128" s="6">
        <v>1</v>
      </c>
      <c r="E128" s="6">
        <v>2</v>
      </c>
      <c r="F128" s="6">
        <v>5.6249999999999998E-3</v>
      </c>
      <c r="G128" s="6">
        <v>0.12298499999999998</v>
      </c>
      <c r="H128" s="14">
        <v>0</v>
      </c>
      <c r="I128" s="13">
        <f t="shared" si="1"/>
        <v>56.25</v>
      </c>
      <c r="J128" s="6" t="s">
        <v>1965</v>
      </c>
    </row>
    <row r="129" spans="1:10" x14ac:dyDescent="0.3">
      <c r="A129" s="6" t="s">
        <v>1966</v>
      </c>
      <c r="B129" s="6" t="s">
        <v>371</v>
      </c>
      <c r="C129" s="6" t="s">
        <v>372</v>
      </c>
      <c r="D129" s="6">
        <v>1</v>
      </c>
      <c r="E129" s="6">
        <v>2</v>
      </c>
      <c r="F129" s="6">
        <v>5.535E-3</v>
      </c>
      <c r="G129" s="6">
        <v>0.12321</v>
      </c>
      <c r="H129" s="14">
        <v>0</v>
      </c>
      <c r="I129" s="13">
        <f t="shared" si="1"/>
        <v>56.25</v>
      </c>
      <c r="J129" s="6" t="s">
        <v>1965</v>
      </c>
    </row>
    <row r="130" spans="1:10" x14ac:dyDescent="0.3">
      <c r="A130" s="6" t="s">
        <v>1967</v>
      </c>
      <c r="B130" s="6" t="s">
        <v>375</v>
      </c>
      <c r="C130" s="6" t="s">
        <v>377</v>
      </c>
      <c r="D130" s="6">
        <v>1</v>
      </c>
      <c r="E130" s="6">
        <v>2</v>
      </c>
      <c r="F130" s="6">
        <v>5.6699999999999997E-3</v>
      </c>
      <c r="G130" s="6">
        <v>0.12240000000000001</v>
      </c>
      <c r="H130" s="14">
        <v>0</v>
      </c>
      <c r="I130" s="13">
        <f t="shared" si="1"/>
        <v>56.25</v>
      </c>
      <c r="J130" s="6" t="s">
        <v>1965</v>
      </c>
    </row>
    <row r="131" spans="1:10" x14ac:dyDescent="0.3">
      <c r="A131" s="6" t="s">
        <v>1968</v>
      </c>
      <c r="B131" s="6" t="s">
        <v>375</v>
      </c>
      <c r="C131" s="6" t="s">
        <v>377</v>
      </c>
      <c r="D131" s="6">
        <v>1</v>
      </c>
      <c r="E131" s="6">
        <v>2</v>
      </c>
      <c r="F131" s="6">
        <v>5.6699999999999997E-3</v>
      </c>
      <c r="G131" s="6">
        <v>0.12298499999999998</v>
      </c>
      <c r="H131" s="14">
        <v>0</v>
      </c>
      <c r="I131" s="13">
        <f t="shared" ref="I131:I185" si="2">J131*1.25</f>
        <v>56.25</v>
      </c>
      <c r="J131" s="6" t="s">
        <v>1965</v>
      </c>
    </row>
    <row r="132" spans="1:10" x14ac:dyDescent="0.3">
      <c r="A132" s="6" t="s">
        <v>1969</v>
      </c>
      <c r="B132" s="6" t="s">
        <v>375</v>
      </c>
      <c r="C132" s="6" t="s">
        <v>377</v>
      </c>
      <c r="D132" s="6">
        <v>1</v>
      </c>
      <c r="E132" s="6">
        <v>2</v>
      </c>
      <c r="F132" s="6">
        <v>4.6800000000000001E-3</v>
      </c>
      <c r="G132" s="6">
        <v>0.15071999999999999</v>
      </c>
      <c r="H132" s="14">
        <v>0</v>
      </c>
      <c r="I132" s="13">
        <f t="shared" si="2"/>
        <v>75</v>
      </c>
      <c r="J132" s="6" t="s">
        <v>1947</v>
      </c>
    </row>
    <row r="133" spans="1:10" x14ac:dyDescent="0.3">
      <c r="A133" s="6" t="s">
        <v>1970</v>
      </c>
      <c r="B133" s="6" t="s">
        <v>384</v>
      </c>
      <c r="C133" s="6" t="s">
        <v>386</v>
      </c>
      <c r="D133" s="6">
        <v>1</v>
      </c>
      <c r="E133" s="6">
        <v>2</v>
      </c>
      <c r="F133" s="6">
        <v>3.4200000000000003E-3</v>
      </c>
      <c r="G133" s="6">
        <v>0.113985</v>
      </c>
      <c r="H133" s="14">
        <v>0</v>
      </c>
      <c r="I133" s="13">
        <f t="shared" si="2"/>
        <v>56.25</v>
      </c>
      <c r="J133" s="6" t="s">
        <v>1965</v>
      </c>
    </row>
    <row r="134" spans="1:10" x14ac:dyDescent="0.3">
      <c r="A134" s="6" t="s">
        <v>1971</v>
      </c>
      <c r="B134" s="6" t="s">
        <v>384</v>
      </c>
      <c r="C134" s="6" t="s">
        <v>386</v>
      </c>
      <c r="D134" s="6">
        <v>1</v>
      </c>
      <c r="E134" s="6">
        <v>2</v>
      </c>
      <c r="F134" s="6">
        <v>3.4200000000000003E-3</v>
      </c>
      <c r="G134" s="6">
        <v>0.11470500000000002</v>
      </c>
      <c r="H134" s="14">
        <v>0</v>
      </c>
      <c r="I134" s="13">
        <f t="shared" si="2"/>
        <v>56.25</v>
      </c>
      <c r="J134" s="6" t="s">
        <v>1965</v>
      </c>
    </row>
    <row r="135" spans="1:10" x14ac:dyDescent="0.3">
      <c r="A135" s="6" t="s">
        <v>1972</v>
      </c>
      <c r="B135" s="6" t="s">
        <v>413</v>
      </c>
      <c r="C135" s="6" t="s">
        <v>415</v>
      </c>
      <c r="D135" s="6">
        <v>1</v>
      </c>
      <c r="E135" s="6">
        <v>2</v>
      </c>
      <c r="F135" s="6">
        <v>7.1400000000000005E-3</v>
      </c>
      <c r="G135" s="6">
        <v>0.16152</v>
      </c>
      <c r="H135" s="14">
        <v>0</v>
      </c>
      <c r="I135" s="13">
        <f t="shared" si="2"/>
        <v>75</v>
      </c>
      <c r="J135" s="6" t="s">
        <v>1947</v>
      </c>
    </row>
    <row r="136" spans="1:10" x14ac:dyDescent="0.3">
      <c r="A136" s="6" t="s">
        <v>1973</v>
      </c>
      <c r="B136" s="6" t="s">
        <v>428</v>
      </c>
      <c r="C136" s="6" t="s">
        <v>429</v>
      </c>
      <c r="D136" s="6">
        <v>1</v>
      </c>
      <c r="E136" s="6">
        <v>2</v>
      </c>
      <c r="F136" s="6">
        <v>3.5099999999999997E-3</v>
      </c>
      <c r="G136" s="6">
        <v>0.22149000000000002</v>
      </c>
      <c r="H136" s="14">
        <v>0</v>
      </c>
      <c r="I136" s="13">
        <f t="shared" si="2"/>
        <v>112.5</v>
      </c>
      <c r="J136" s="6" t="s">
        <v>1923</v>
      </c>
    </row>
    <row r="137" spans="1:10" x14ac:dyDescent="0.3">
      <c r="A137" s="6" t="s">
        <v>1974</v>
      </c>
      <c r="B137" s="6" t="s">
        <v>496</v>
      </c>
      <c r="C137" s="6" t="s">
        <v>498</v>
      </c>
      <c r="D137" s="6">
        <v>1</v>
      </c>
      <c r="E137" s="6">
        <v>2</v>
      </c>
      <c r="F137" s="6">
        <v>3.5099999999999997E-3</v>
      </c>
      <c r="G137" s="6">
        <v>0.22149000000000002</v>
      </c>
      <c r="H137" s="14">
        <v>0</v>
      </c>
      <c r="I137" s="13">
        <f t="shared" si="2"/>
        <v>112.5</v>
      </c>
      <c r="J137" s="6" t="s">
        <v>1923</v>
      </c>
    </row>
    <row r="138" spans="1:10" x14ac:dyDescent="0.3">
      <c r="A138" s="6" t="s">
        <v>1975</v>
      </c>
      <c r="B138" s="6" t="s">
        <v>499</v>
      </c>
      <c r="C138" s="6" t="s">
        <v>500</v>
      </c>
      <c r="D138" s="6">
        <v>1</v>
      </c>
      <c r="E138" s="6">
        <v>2</v>
      </c>
      <c r="F138" s="6">
        <v>3.5099999999999997E-3</v>
      </c>
      <c r="G138" s="6">
        <v>0.22149000000000002</v>
      </c>
      <c r="H138" s="14">
        <v>0</v>
      </c>
      <c r="I138" s="13">
        <f t="shared" si="2"/>
        <v>112.5</v>
      </c>
      <c r="J138" s="6" t="s">
        <v>1923</v>
      </c>
    </row>
    <row r="139" spans="1:10" x14ac:dyDescent="0.3">
      <c r="A139" s="6" t="s">
        <v>1976</v>
      </c>
      <c r="B139" s="6" t="s">
        <v>499</v>
      </c>
      <c r="C139" s="6" t="s">
        <v>500</v>
      </c>
      <c r="D139" s="6">
        <v>1</v>
      </c>
      <c r="E139" s="6">
        <v>2</v>
      </c>
      <c r="F139" s="6">
        <v>3.5099999999999997E-3</v>
      </c>
      <c r="G139" s="6">
        <v>0.22149000000000002</v>
      </c>
      <c r="H139" s="14">
        <v>0</v>
      </c>
      <c r="I139" s="13">
        <f t="shared" si="2"/>
        <v>112.5</v>
      </c>
      <c r="J139" s="6" t="s">
        <v>1923</v>
      </c>
    </row>
    <row r="140" spans="1:10" x14ac:dyDescent="0.3">
      <c r="A140" s="6" t="s">
        <v>1977</v>
      </c>
      <c r="B140" s="6" t="s">
        <v>528</v>
      </c>
      <c r="C140" s="6" t="s">
        <v>529</v>
      </c>
      <c r="D140" s="6">
        <v>1</v>
      </c>
      <c r="E140" s="6">
        <v>2</v>
      </c>
      <c r="F140" s="6">
        <v>5.2199999999999998E-3</v>
      </c>
      <c r="G140" s="6">
        <v>0.12500999999999998</v>
      </c>
      <c r="H140" s="14">
        <v>0</v>
      </c>
      <c r="I140" s="13">
        <f t="shared" si="2"/>
        <v>56.25</v>
      </c>
      <c r="J140" s="6" t="s">
        <v>1965</v>
      </c>
    </row>
    <row r="141" spans="1:10" x14ac:dyDescent="0.3">
      <c r="A141" s="6" t="s">
        <v>1978</v>
      </c>
      <c r="B141" s="6" t="s">
        <v>528</v>
      </c>
      <c r="C141" s="6" t="s">
        <v>529</v>
      </c>
      <c r="D141" s="6">
        <v>1</v>
      </c>
      <c r="E141" s="6">
        <v>2</v>
      </c>
      <c r="F141" s="6">
        <v>5.2199999999999998E-3</v>
      </c>
      <c r="G141" s="6">
        <v>0.124695</v>
      </c>
      <c r="H141" s="14">
        <v>0</v>
      </c>
      <c r="I141" s="13">
        <f t="shared" si="2"/>
        <v>56.25</v>
      </c>
      <c r="J141" s="6" t="s">
        <v>1965</v>
      </c>
    </row>
    <row r="142" spans="1:10" x14ac:dyDescent="0.3">
      <c r="A142" s="6" t="s">
        <v>1979</v>
      </c>
      <c r="B142" s="6" t="s">
        <v>537</v>
      </c>
      <c r="C142" s="6" t="s">
        <v>538</v>
      </c>
      <c r="D142" s="6">
        <v>1</v>
      </c>
      <c r="E142" s="6">
        <v>2</v>
      </c>
      <c r="F142" s="6">
        <v>5.6249999999999998E-3</v>
      </c>
      <c r="G142" s="6">
        <v>0.12640499999999999</v>
      </c>
      <c r="H142" s="14">
        <v>0</v>
      </c>
      <c r="I142" s="13">
        <f t="shared" si="2"/>
        <v>56.25</v>
      </c>
      <c r="J142" s="6" t="s">
        <v>1965</v>
      </c>
    </row>
    <row r="143" spans="1:10" x14ac:dyDescent="0.3">
      <c r="A143" s="6" t="s">
        <v>1980</v>
      </c>
      <c r="B143" s="6" t="s">
        <v>537</v>
      </c>
      <c r="C143" s="6" t="s">
        <v>538</v>
      </c>
      <c r="D143" s="6">
        <v>1</v>
      </c>
      <c r="E143" s="6">
        <v>2</v>
      </c>
      <c r="F143" s="6">
        <v>5.4900000000000001E-3</v>
      </c>
      <c r="G143" s="6">
        <v>0.12437999999999999</v>
      </c>
      <c r="H143" s="14">
        <v>0</v>
      </c>
      <c r="I143" s="13">
        <f t="shared" si="2"/>
        <v>56.25</v>
      </c>
      <c r="J143" s="6" t="s">
        <v>1965</v>
      </c>
    </row>
    <row r="144" spans="1:10" x14ac:dyDescent="0.3">
      <c r="A144" s="6" t="s">
        <v>1981</v>
      </c>
      <c r="B144" s="6" t="s">
        <v>541</v>
      </c>
      <c r="C144" s="6" t="s">
        <v>543</v>
      </c>
      <c r="D144" s="6">
        <v>1</v>
      </c>
      <c r="E144" s="6">
        <v>2</v>
      </c>
      <c r="F144" s="6">
        <v>7.8299999999999984E-3</v>
      </c>
      <c r="G144" s="6">
        <v>0.2286</v>
      </c>
      <c r="H144" s="14">
        <v>0</v>
      </c>
      <c r="I144" s="13">
        <f t="shared" si="2"/>
        <v>112.5</v>
      </c>
      <c r="J144" s="6" t="s">
        <v>1923</v>
      </c>
    </row>
    <row r="145" spans="1:10" x14ac:dyDescent="0.3">
      <c r="A145" s="6" t="s">
        <v>1982</v>
      </c>
      <c r="B145" s="6" t="s">
        <v>541</v>
      </c>
      <c r="C145" s="6" t="s">
        <v>543</v>
      </c>
      <c r="D145" s="6">
        <v>1</v>
      </c>
      <c r="E145" s="6">
        <v>2</v>
      </c>
      <c r="F145" s="6">
        <v>7.7400000000000004E-3</v>
      </c>
      <c r="G145" s="6">
        <v>0.23121000000000003</v>
      </c>
      <c r="H145" s="14">
        <v>0</v>
      </c>
      <c r="I145" s="13">
        <f t="shared" si="2"/>
        <v>112.5</v>
      </c>
      <c r="J145" s="6" t="s">
        <v>1923</v>
      </c>
    </row>
    <row r="146" spans="1:10" x14ac:dyDescent="0.3">
      <c r="A146" s="6" t="s">
        <v>1983</v>
      </c>
      <c r="B146" s="6" t="s">
        <v>544</v>
      </c>
      <c r="C146" s="6" t="s">
        <v>545</v>
      </c>
      <c r="D146" s="6">
        <v>1</v>
      </c>
      <c r="E146" s="6">
        <v>2</v>
      </c>
      <c r="F146" s="6">
        <v>3.4200000000000003E-3</v>
      </c>
      <c r="G146" s="6">
        <v>0.1143</v>
      </c>
      <c r="H146" s="14">
        <v>0</v>
      </c>
      <c r="I146" s="13">
        <f t="shared" si="2"/>
        <v>56.25</v>
      </c>
      <c r="J146" s="6" t="s">
        <v>1965</v>
      </c>
    </row>
    <row r="147" spans="1:10" x14ac:dyDescent="0.3">
      <c r="A147" s="6" t="s">
        <v>1984</v>
      </c>
      <c r="B147" s="6" t="s">
        <v>544</v>
      </c>
      <c r="C147" s="6" t="s">
        <v>545</v>
      </c>
      <c r="D147" s="6">
        <v>1</v>
      </c>
      <c r="E147" s="6">
        <v>2</v>
      </c>
      <c r="F147" s="6">
        <v>3.4200000000000003E-3</v>
      </c>
      <c r="G147" s="6">
        <v>0.113985</v>
      </c>
      <c r="H147" s="14">
        <v>0</v>
      </c>
      <c r="I147" s="13">
        <f t="shared" si="2"/>
        <v>56.25</v>
      </c>
      <c r="J147" s="6" t="s">
        <v>1965</v>
      </c>
    </row>
    <row r="148" spans="1:10" x14ac:dyDescent="0.3">
      <c r="A148" s="6" t="s">
        <v>1985</v>
      </c>
      <c r="B148" s="6" t="s">
        <v>547</v>
      </c>
      <c r="C148" s="6" t="s">
        <v>548</v>
      </c>
      <c r="D148" s="6">
        <v>1</v>
      </c>
      <c r="E148" s="6">
        <v>2</v>
      </c>
      <c r="F148" s="6">
        <v>5.7600000000000004E-3</v>
      </c>
      <c r="G148" s="6">
        <v>0.12321</v>
      </c>
      <c r="H148" s="14">
        <v>0</v>
      </c>
      <c r="I148" s="13">
        <f t="shared" si="2"/>
        <v>56.25</v>
      </c>
      <c r="J148" s="6" t="s">
        <v>1965</v>
      </c>
    </row>
    <row r="149" spans="1:10" x14ac:dyDescent="0.3">
      <c r="A149" s="6" t="s">
        <v>1986</v>
      </c>
      <c r="B149" s="6" t="s">
        <v>547</v>
      </c>
      <c r="C149" s="6" t="s">
        <v>548</v>
      </c>
      <c r="D149" s="6">
        <v>1</v>
      </c>
      <c r="E149" s="6">
        <v>2</v>
      </c>
      <c r="F149" s="6">
        <v>5.7600000000000004E-3</v>
      </c>
      <c r="G149" s="6">
        <v>0.126</v>
      </c>
      <c r="H149" s="14">
        <v>0</v>
      </c>
      <c r="I149" s="13">
        <f t="shared" si="2"/>
        <v>56.25</v>
      </c>
      <c r="J149" s="6" t="s">
        <v>1965</v>
      </c>
    </row>
    <row r="150" spans="1:10" x14ac:dyDescent="0.3">
      <c r="A150" s="6" t="s">
        <v>1987</v>
      </c>
      <c r="B150" s="6" t="s">
        <v>619</v>
      </c>
      <c r="C150" s="6" t="s">
        <v>620</v>
      </c>
      <c r="D150" s="6">
        <v>1</v>
      </c>
      <c r="E150" s="6">
        <v>2</v>
      </c>
      <c r="F150" s="6">
        <v>4.4999999999999997E-3</v>
      </c>
      <c r="G150" s="6">
        <v>0.15029999999999999</v>
      </c>
      <c r="H150" s="14">
        <v>0</v>
      </c>
      <c r="I150" s="13">
        <f t="shared" si="2"/>
        <v>75</v>
      </c>
      <c r="J150" s="6" t="s">
        <v>1947</v>
      </c>
    </row>
    <row r="151" spans="1:10" x14ac:dyDescent="0.3">
      <c r="A151" s="6" t="s">
        <v>1988</v>
      </c>
      <c r="B151" s="6" t="s">
        <v>619</v>
      </c>
      <c r="C151" s="6" t="s">
        <v>620</v>
      </c>
      <c r="D151" s="6">
        <v>1</v>
      </c>
      <c r="E151" s="6">
        <v>2</v>
      </c>
      <c r="F151" s="6">
        <v>4.3800000000000002E-3</v>
      </c>
      <c r="G151" s="6">
        <v>0.15</v>
      </c>
      <c r="H151" s="14">
        <v>0</v>
      </c>
      <c r="I151" s="13">
        <f t="shared" si="2"/>
        <v>75</v>
      </c>
      <c r="J151" s="6" t="s">
        <v>1947</v>
      </c>
    </row>
    <row r="152" spans="1:10" x14ac:dyDescent="0.3">
      <c r="A152" s="6" t="s">
        <v>1989</v>
      </c>
      <c r="B152" s="6" t="s">
        <v>628</v>
      </c>
      <c r="C152" s="6" t="s">
        <v>630</v>
      </c>
      <c r="D152" s="6">
        <v>1</v>
      </c>
      <c r="E152" s="6">
        <v>2</v>
      </c>
      <c r="F152" s="6">
        <v>3.4200000000000003E-3</v>
      </c>
      <c r="G152" s="6">
        <v>0.21843000000000001</v>
      </c>
      <c r="H152" s="14">
        <v>0</v>
      </c>
      <c r="I152" s="13">
        <f t="shared" si="2"/>
        <v>112.5</v>
      </c>
      <c r="J152" s="6" t="s">
        <v>1923</v>
      </c>
    </row>
    <row r="153" spans="1:10" x14ac:dyDescent="0.3">
      <c r="A153" s="6" t="s">
        <v>1990</v>
      </c>
      <c r="B153" s="6" t="s">
        <v>628</v>
      </c>
      <c r="C153" s="6" t="s">
        <v>630</v>
      </c>
      <c r="D153" s="6">
        <v>1</v>
      </c>
      <c r="E153" s="6">
        <v>2</v>
      </c>
      <c r="F153" s="6">
        <v>3.4200000000000003E-3</v>
      </c>
      <c r="G153" s="6">
        <v>0.21771000000000001</v>
      </c>
      <c r="H153" s="14">
        <v>0</v>
      </c>
      <c r="I153" s="13">
        <f t="shared" si="2"/>
        <v>112.5</v>
      </c>
      <c r="J153" s="6" t="s">
        <v>1923</v>
      </c>
    </row>
    <row r="154" spans="1:10" x14ac:dyDescent="0.3">
      <c r="A154" s="6" t="s">
        <v>1991</v>
      </c>
      <c r="B154" s="6" t="s">
        <v>637</v>
      </c>
      <c r="C154" s="6" t="s">
        <v>639</v>
      </c>
      <c r="D154" s="6">
        <v>1</v>
      </c>
      <c r="E154" s="6">
        <v>2</v>
      </c>
      <c r="F154" s="6">
        <v>3.5099999999999997E-3</v>
      </c>
      <c r="G154" s="6">
        <v>0.22329000000000002</v>
      </c>
      <c r="H154" s="14">
        <v>0</v>
      </c>
      <c r="I154" s="13">
        <f t="shared" si="2"/>
        <v>112.5</v>
      </c>
      <c r="J154" s="6" t="s">
        <v>1923</v>
      </c>
    </row>
    <row r="155" spans="1:10" x14ac:dyDescent="0.3">
      <c r="A155" s="6" t="s">
        <v>1992</v>
      </c>
      <c r="B155" s="6" t="s">
        <v>637</v>
      </c>
      <c r="C155" s="6" t="s">
        <v>639</v>
      </c>
      <c r="D155" s="6">
        <v>1</v>
      </c>
      <c r="E155" s="6">
        <v>2</v>
      </c>
      <c r="F155" s="6">
        <v>3.5099999999999997E-3</v>
      </c>
      <c r="G155" s="6">
        <v>0.22409999999999999</v>
      </c>
      <c r="H155" s="14">
        <v>0</v>
      </c>
      <c r="I155" s="13">
        <f t="shared" si="2"/>
        <v>112.5</v>
      </c>
      <c r="J155" s="6" t="s">
        <v>1923</v>
      </c>
    </row>
    <row r="156" spans="1:10" x14ac:dyDescent="0.3">
      <c r="A156" s="6" t="s">
        <v>1993</v>
      </c>
      <c r="B156" s="6" t="s">
        <v>688</v>
      </c>
      <c r="C156" s="6" t="s">
        <v>690</v>
      </c>
      <c r="D156" s="6">
        <v>1</v>
      </c>
      <c r="E156" s="6">
        <v>2</v>
      </c>
      <c r="F156" s="6">
        <v>3.5099999999999997E-3</v>
      </c>
      <c r="G156" s="6">
        <v>0.22149000000000002</v>
      </c>
      <c r="H156" s="14">
        <v>0</v>
      </c>
      <c r="I156" s="13">
        <f t="shared" si="2"/>
        <v>112.5</v>
      </c>
      <c r="J156" s="6" t="s">
        <v>1923</v>
      </c>
    </row>
    <row r="157" spans="1:10" x14ac:dyDescent="0.3">
      <c r="A157" s="6" t="s">
        <v>1994</v>
      </c>
      <c r="B157" s="6" t="s">
        <v>673</v>
      </c>
      <c r="C157" s="6" t="s">
        <v>674</v>
      </c>
      <c r="D157" s="6">
        <v>1</v>
      </c>
      <c r="E157" s="6">
        <v>2</v>
      </c>
      <c r="F157" s="6">
        <v>7.8299999999999984E-3</v>
      </c>
      <c r="G157" s="6">
        <v>0.22941000000000003</v>
      </c>
      <c r="H157" s="14">
        <v>0</v>
      </c>
      <c r="I157" s="13">
        <f t="shared" si="2"/>
        <v>112.5</v>
      </c>
      <c r="J157" s="6" t="s">
        <v>1923</v>
      </c>
    </row>
    <row r="158" spans="1:10" x14ac:dyDescent="0.3">
      <c r="A158" s="6" t="s">
        <v>1995</v>
      </c>
      <c r="B158" s="6" t="s">
        <v>673</v>
      </c>
      <c r="C158" s="6" t="s">
        <v>674</v>
      </c>
      <c r="D158" s="6">
        <v>1</v>
      </c>
      <c r="E158" s="6">
        <v>2</v>
      </c>
      <c r="F158" s="6">
        <v>4.1399999999999996E-3</v>
      </c>
      <c r="G158" s="6">
        <v>0.21617999999999998</v>
      </c>
      <c r="H158" s="14">
        <v>0</v>
      </c>
      <c r="I158" s="13">
        <f t="shared" si="2"/>
        <v>112.5</v>
      </c>
      <c r="J158" s="6" t="s">
        <v>1923</v>
      </c>
    </row>
    <row r="159" spans="1:10" x14ac:dyDescent="0.3">
      <c r="A159" s="6" t="s">
        <v>1996</v>
      </c>
      <c r="B159" s="6" t="s">
        <v>684</v>
      </c>
      <c r="C159" s="6" t="s">
        <v>685</v>
      </c>
      <c r="D159" s="6">
        <v>1</v>
      </c>
      <c r="E159" s="6">
        <v>2</v>
      </c>
      <c r="F159" s="6">
        <v>7.8299999999999984E-3</v>
      </c>
      <c r="G159" s="6">
        <v>0.23184000000000002</v>
      </c>
      <c r="H159" s="14">
        <v>0</v>
      </c>
      <c r="I159" s="13">
        <f t="shared" si="2"/>
        <v>112.5</v>
      </c>
      <c r="J159" s="6" t="s">
        <v>1923</v>
      </c>
    </row>
    <row r="160" spans="1:10" x14ac:dyDescent="0.3">
      <c r="A160" s="6" t="s">
        <v>1997</v>
      </c>
      <c r="B160" s="6" t="s">
        <v>684</v>
      </c>
      <c r="C160" s="6" t="s">
        <v>685</v>
      </c>
      <c r="D160" s="6">
        <v>1</v>
      </c>
      <c r="E160" s="6">
        <v>2</v>
      </c>
      <c r="F160" s="6">
        <v>7.8299999999999984E-3</v>
      </c>
      <c r="G160" s="6">
        <v>0.22797000000000001</v>
      </c>
      <c r="H160" s="14">
        <v>0</v>
      </c>
      <c r="I160" s="13">
        <f t="shared" si="2"/>
        <v>112.5</v>
      </c>
      <c r="J160" s="6" t="s">
        <v>1923</v>
      </c>
    </row>
    <row r="161" spans="1:10" x14ac:dyDescent="0.3">
      <c r="A161" s="6" t="s">
        <v>1998</v>
      </c>
      <c r="B161" s="6" t="s">
        <v>729</v>
      </c>
      <c r="C161" s="6" t="s">
        <v>730</v>
      </c>
      <c r="D161" s="6">
        <v>1</v>
      </c>
      <c r="E161" s="6">
        <v>2</v>
      </c>
      <c r="F161" s="6">
        <v>3.5099999999999997E-3</v>
      </c>
      <c r="G161" s="6">
        <v>0.2223</v>
      </c>
      <c r="H161" s="14">
        <v>0</v>
      </c>
      <c r="I161" s="13">
        <f t="shared" si="2"/>
        <v>112.5</v>
      </c>
      <c r="J161" s="6" t="s">
        <v>1923</v>
      </c>
    </row>
    <row r="162" spans="1:10" x14ac:dyDescent="0.3">
      <c r="A162" s="6" t="s">
        <v>1999</v>
      </c>
      <c r="B162" s="6" t="s">
        <v>729</v>
      </c>
      <c r="C162" s="6" t="s">
        <v>730</v>
      </c>
      <c r="D162" s="6">
        <v>1</v>
      </c>
      <c r="E162" s="6">
        <v>2</v>
      </c>
      <c r="F162" s="6">
        <v>3.5099999999999997E-3</v>
      </c>
      <c r="G162" s="6">
        <v>0.22238999999999998</v>
      </c>
      <c r="H162" s="14">
        <v>0</v>
      </c>
      <c r="I162" s="13">
        <f t="shared" si="2"/>
        <v>112.5</v>
      </c>
      <c r="J162" s="6" t="s">
        <v>1923</v>
      </c>
    </row>
    <row r="163" spans="1:10" x14ac:dyDescent="0.3">
      <c r="A163" s="6" t="s">
        <v>2000</v>
      </c>
      <c r="B163" s="6" t="s">
        <v>738</v>
      </c>
      <c r="C163" s="6" t="s">
        <v>740</v>
      </c>
      <c r="D163" s="6">
        <v>1</v>
      </c>
      <c r="E163" s="6">
        <v>2</v>
      </c>
      <c r="F163" s="6">
        <v>3.4200000000000003E-3</v>
      </c>
      <c r="G163" s="6">
        <v>0.11348999999999998</v>
      </c>
      <c r="H163" s="14">
        <v>0</v>
      </c>
      <c r="I163" s="13">
        <f t="shared" si="2"/>
        <v>56.25</v>
      </c>
      <c r="J163" s="6" t="s">
        <v>1965</v>
      </c>
    </row>
    <row r="164" spans="1:10" x14ac:dyDescent="0.3">
      <c r="A164" s="6" t="s">
        <v>2001</v>
      </c>
      <c r="B164" s="6" t="s">
        <v>738</v>
      </c>
      <c r="C164" s="6" t="s">
        <v>740</v>
      </c>
      <c r="D164" s="6">
        <v>1</v>
      </c>
      <c r="E164" s="6">
        <v>2</v>
      </c>
      <c r="F164" s="6">
        <v>3.4200000000000003E-3</v>
      </c>
      <c r="G164" s="6">
        <v>0.11321999999999999</v>
      </c>
      <c r="H164" s="14">
        <v>0</v>
      </c>
      <c r="I164" s="13">
        <f t="shared" si="2"/>
        <v>56.25</v>
      </c>
      <c r="J164" s="6" t="s">
        <v>1965</v>
      </c>
    </row>
    <row r="165" spans="1:10" x14ac:dyDescent="0.3">
      <c r="A165" s="6" t="s">
        <v>2002</v>
      </c>
      <c r="B165" s="6" t="s">
        <v>775</v>
      </c>
      <c r="C165" s="6" t="s">
        <v>777</v>
      </c>
      <c r="D165" s="6">
        <v>1</v>
      </c>
      <c r="E165" s="6">
        <v>2</v>
      </c>
      <c r="F165" s="6">
        <v>3.5099999999999997E-3</v>
      </c>
      <c r="G165" s="6">
        <v>0.22149000000000002</v>
      </c>
      <c r="H165" s="14">
        <v>0</v>
      </c>
      <c r="I165" s="13">
        <f t="shared" si="2"/>
        <v>112.5</v>
      </c>
      <c r="J165" s="6" t="s">
        <v>1923</v>
      </c>
    </row>
    <row r="166" spans="1:10" x14ac:dyDescent="0.3">
      <c r="A166" s="6" t="s">
        <v>2003</v>
      </c>
      <c r="B166" s="6" t="s">
        <v>768</v>
      </c>
      <c r="C166" s="6" t="s">
        <v>772</v>
      </c>
      <c r="D166" s="6">
        <v>1</v>
      </c>
      <c r="E166" s="6">
        <v>2</v>
      </c>
      <c r="F166" s="6">
        <v>1.5899999999999997E-2</v>
      </c>
      <c r="G166" s="6">
        <v>0.18456</v>
      </c>
      <c r="H166" s="14">
        <v>0</v>
      </c>
      <c r="I166" s="13">
        <f t="shared" si="2"/>
        <v>75</v>
      </c>
      <c r="J166" s="6" t="s">
        <v>1947</v>
      </c>
    </row>
    <row r="167" spans="1:10" x14ac:dyDescent="0.3">
      <c r="A167" s="6" t="s">
        <v>2004</v>
      </c>
      <c r="B167" s="6" t="s">
        <v>791</v>
      </c>
      <c r="C167" s="6" t="s">
        <v>793</v>
      </c>
      <c r="D167" s="6">
        <v>1</v>
      </c>
      <c r="E167" s="6">
        <v>2</v>
      </c>
      <c r="F167" s="6">
        <v>3.5099999999999997E-3</v>
      </c>
      <c r="G167" s="6">
        <v>0.22329000000000002</v>
      </c>
      <c r="H167" s="14">
        <v>0</v>
      </c>
      <c r="I167" s="13">
        <f t="shared" si="2"/>
        <v>112.5</v>
      </c>
      <c r="J167" s="6" t="s">
        <v>1923</v>
      </c>
    </row>
    <row r="168" spans="1:10" x14ac:dyDescent="0.3">
      <c r="A168" s="16" t="s">
        <v>2005</v>
      </c>
      <c r="B168" s="16" t="s">
        <v>791</v>
      </c>
      <c r="C168" s="16" t="s">
        <v>793</v>
      </c>
      <c r="D168" s="16">
        <v>1</v>
      </c>
      <c r="E168" s="16">
        <v>2</v>
      </c>
      <c r="F168" s="16">
        <v>3.5099999999999997E-3</v>
      </c>
      <c r="G168" s="16">
        <v>0.22392000000000001</v>
      </c>
      <c r="H168" s="14">
        <v>0</v>
      </c>
      <c r="I168" s="13">
        <f t="shared" si="2"/>
        <v>112.5</v>
      </c>
      <c r="J168" s="16" t="s">
        <v>1923</v>
      </c>
    </row>
    <row r="169" spans="1:10" x14ac:dyDescent="0.3">
      <c r="A169" s="6" t="s">
        <v>2006</v>
      </c>
      <c r="B169" s="17" t="s">
        <v>153</v>
      </c>
      <c r="C169" s="17" t="s">
        <v>151</v>
      </c>
      <c r="D169" s="6">
        <v>1</v>
      </c>
      <c r="E169" s="6">
        <v>2</v>
      </c>
      <c r="F169" s="18" t="s">
        <v>2007</v>
      </c>
      <c r="G169" s="18" t="s">
        <v>2008</v>
      </c>
      <c r="H169" s="14">
        <v>0</v>
      </c>
      <c r="I169" s="13">
        <f t="shared" si="2"/>
        <v>300</v>
      </c>
      <c r="J169" s="6" t="s">
        <v>2009</v>
      </c>
    </row>
    <row r="170" spans="1:10" x14ac:dyDescent="0.3">
      <c r="A170" s="6" t="s">
        <v>2010</v>
      </c>
      <c r="B170" s="17" t="s">
        <v>153</v>
      </c>
      <c r="C170" s="17" t="s">
        <v>151</v>
      </c>
      <c r="D170" s="6">
        <v>1</v>
      </c>
      <c r="E170" s="6">
        <v>2</v>
      </c>
      <c r="F170" s="18" t="s">
        <v>2007</v>
      </c>
      <c r="G170" s="18" t="s">
        <v>2008</v>
      </c>
      <c r="H170" s="14">
        <v>0</v>
      </c>
      <c r="I170" s="13">
        <f t="shared" si="2"/>
        <v>300</v>
      </c>
      <c r="J170" s="6" t="s">
        <v>2009</v>
      </c>
    </row>
    <row r="171" spans="1:10" x14ac:dyDescent="0.3">
      <c r="A171" s="6" t="s">
        <v>2011</v>
      </c>
      <c r="B171" s="17" t="s">
        <v>196</v>
      </c>
      <c r="C171" s="17" t="s">
        <v>194</v>
      </c>
      <c r="D171" s="6">
        <v>1</v>
      </c>
      <c r="E171" s="6">
        <v>2</v>
      </c>
      <c r="F171" s="18" t="s">
        <v>2012</v>
      </c>
      <c r="G171" s="18" t="s">
        <v>2013</v>
      </c>
      <c r="H171" s="14">
        <v>0</v>
      </c>
      <c r="I171" s="13">
        <f t="shared" si="2"/>
        <v>300</v>
      </c>
      <c r="J171" s="6" t="s">
        <v>2009</v>
      </c>
    </row>
    <row r="172" spans="1:10" x14ac:dyDescent="0.3">
      <c r="A172" s="6" t="s">
        <v>2014</v>
      </c>
      <c r="B172" s="17" t="s">
        <v>196</v>
      </c>
      <c r="C172" s="17" t="s">
        <v>194</v>
      </c>
      <c r="D172" s="6">
        <v>1</v>
      </c>
      <c r="E172" s="6">
        <v>2</v>
      </c>
      <c r="F172" s="18" t="s">
        <v>2007</v>
      </c>
      <c r="G172" s="18" t="s">
        <v>2008</v>
      </c>
      <c r="H172" s="14">
        <v>0</v>
      </c>
      <c r="I172" s="13">
        <f t="shared" si="2"/>
        <v>300</v>
      </c>
      <c r="J172" s="6" t="s">
        <v>2009</v>
      </c>
    </row>
    <row r="173" spans="1:10" x14ac:dyDescent="0.3">
      <c r="A173" s="6" t="s">
        <v>2015</v>
      </c>
      <c r="B173" s="17" t="s">
        <v>196</v>
      </c>
      <c r="C173" s="17" t="s">
        <v>194</v>
      </c>
      <c r="D173" s="6">
        <v>1</v>
      </c>
      <c r="E173" s="6">
        <v>2</v>
      </c>
      <c r="F173" s="18" t="s">
        <v>2007</v>
      </c>
      <c r="G173" s="18" t="s">
        <v>2016</v>
      </c>
      <c r="H173" s="14">
        <v>0</v>
      </c>
      <c r="I173" s="13">
        <f t="shared" si="2"/>
        <v>300</v>
      </c>
      <c r="J173" s="6" t="s">
        <v>2009</v>
      </c>
    </row>
    <row r="174" spans="1:10" x14ac:dyDescent="0.3">
      <c r="A174" s="6" t="s">
        <v>2017</v>
      </c>
      <c r="B174" s="17" t="s">
        <v>283</v>
      </c>
      <c r="C174" s="17" t="s">
        <v>281</v>
      </c>
      <c r="D174" s="6">
        <v>1</v>
      </c>
      <c r="E174" s="6">
        <v>2</v>
      </c>
      <c r="F174" s="18" t="s">
        <v>996</v>
      </c>
      <c r="G174" s="18" t="s">
        <v>2018</v>
      </c>
      <c r="H174" s="14">
        <v>0</v>
      </c>
      <c r="I174" s="13">
        <f t="shared" si="2"/>
        <v>300</v>
      </c>
      <c r="J174" s="6" t="s">
        <v>2009</v>
      </c>
    </row>
    <row r="175" spans="1:10" x14ac:dyDescent="0.3">
      <c r="A175" s="6" t="s">
        <v>2019</v>
      </c>
      <c r="B175" s="17" t="s">
        <v>283</v>
      </c>
      <c r="C175" s="17" t="s">
        <v>281</v>
      </c>
      <c r="D175" s="6">
        <v>1</v>
      </c>
      <c r="E175" s="6">
        <v>2</v>
      </c>
      <c r="F175" s="18" t="s">
        <v>2012</v>
      </c>
      <c r="G175" s="18" t="s">
        <v>2013</v>
      </c>
      <c r="H175" s="14">
        <v>0</v>
      </c>
      <c r="I175" s="13">
        <f t="shared" si="2"/>
        <v>300</v>
      </c>
      <c r="J175" s="6" t="s">
        <v>2009</v>
      </c>
    </row>
    <row r="176" spans="1:10" x14ac:dyDescent="0.3">
      <c r="A176" s="6" t="s">
        <v>2020</v>
      </c>
      <c r="B176" s="17" t="s">
        <v>445</v>
      </c>
      <c r="C176" s="17" t="s">
        <v>443</v>
      </c>
      <c r="D176" s="6">
        <v>1</v>
      </c>
      <c r="E176" s="6">
        <v>2</v>
      </c>
      <c r="F176" s="18" t="s">
        <v>2007</v>
      </c>
      <c r="G176" s="18" t="s">
        <v>2021</v>
      </c>
      <c r="H176" s="14">
        <v>0</v>
      </c>
      <c r="I176" s="13">
        <f t="shared" si="2"/>
        <v>300</v>
      </c>
      <c r="J176" s="6" t="s">
        <v>2009</v>
      </c>
    </row>
    <row r="177" spans="1:10" x14ac:dyDescent="0.3">
      <c r="A177" s="6" t="s">
        <v>2022</v>
      </c>
      <c r="B177" s="17" t="s">
        <v>445</v>
      </c>
      <c r="C177" s="17" t="s">
        <v>443</v>
      </c>
      <c r="D177" s="6">
        <v>1</v>
      </c>
      <c r="E177" s="6">
        <v>2</v>
      </c>
      <c r="F177" s="18" t="s">
        <v>2007</v>
      </c>
      <c r="G177" s="18" t="s">
        <v>2021</v>
      </c>
      <c r="H177" s="14">
        <v>0</v>
      </c>
      <c r="I177" s="13">
        <f t="shared" si="2"/>
        <v>300</v>
      </c>
      <c r="J177" s="6" t="s">
        <v>2009</v>
      </c>
    </row>
    <row r="178" spans="1:10" x14ac:dyDescent="0.3">
      <c r="A178" s="6" t="s">
        <v>2023</v>
      </c>
      <c r="B178" s="17" t="s">
        <v>445</v>
      </c>
      <c r="C178" s="17" t="s">
        <v>443</v>
      </c>
      <c r="D178" s="6">
        <v>1</v>
      </c>
      <c r="E178" s="6">
        <v>2</v>
      </c>
      <c r="F178" s="18" t="s">
        <v>996</v>
      </c>
      <c r="G178" s="18" t="s">
        <v>1087</v>
      </c>
      <c r="H178" s="14">
        <v>0</v>
      </c>
      <c r="I178" s="13">
        <f t="shared" si="2"/>
        <v>300</v>
      </c>
      <c r="J178" s="6" t="s">
        <v>2009</v>
      </c>
    </row>
    <row r="179" spans="1:10" x14ac:dyDescent="0.3">
      <c r="A179" s="6" t="s">
        <v>2024</v>
      </c>
      <c r="B179" s="17" t="s">
        <v>472</v>
      </c>
      <c r="C179" s="17" t="s">
        <v>470</v>
      </c>
      <c r="D179" s="6">
        <v>1</v>
      </c>
      <c r="E179" s="6">
        <v>2</v>
      </c>
      <c r="F179" s="18" t="s">
        <v>2007</v>
      </c>
      <c r="G179" s="18" t="s">
        <v>1901</v>
      </c>
      <c r="H179" s="14">
        <v>0</v>
      </c>
      <c r="I179" s="13">
        <f t="shared" si="2"/>
        <v>300</v>
      </c>
      <c r="J179" s="6" t="s">
        <v>2009</v>
      </c>
    </row>
    <row r="180" spans="1:10" x14ac:dyDescent="0.3">
      <c r="A180" s="6" t="s">
        <v>2025</v>
      </c>
      <c r="B180" s="17" t="s">
        <v>472</v>
      </c>
      <c r="C180" s="17" t="s">
        <v>470</v>
      </c>
      <c r="D180" s="6">
        <v>1</v>
      </c>
      <c r="E180" s="6">
        <v>2</v>
      </c>
      <c r="F180" s="18" t="s">
        <v>2007</v>
      </c>
      <c r="G180" s="18" t="s">
        <v>2026</v>
      </c>
      <c r="H180" s="14">
        <v>0</v>
      </c>
      <c r="I180" s="13">
        <f t="shared" si="2"/>
        <v>300</v>
      </c>
      <c r="J180" s="6" t="s">
        <v>2009</v>
      </c>
    </row>
    <row r="181" spans="1:10" x14ac:dyDescent="0.3">
      <c r="A181" s="6" t="s">
        <v>2027</v>
      </c>
      <c r="B181" s="17" t="s">
        <v>744</v>
      </c>
      <c r="C181" s="17" t="s">
        <v>742</v>
      </c>
      <c r="D181" s="6">
        <v>1</v>
      </c>
      <c r="E181" s="6">
        <v>2</v>
      </c>
      <c r="F181" s="18" t="s">
        <v>2007</v>
      </c>
      <c r="G181" s="18" t="s">
        <v>2008</v>
      </c>
      <c r="H181" s="14">
        <v>0</v>
      </c>
      <c r="I181" s="13">
        <f t="shared" si="2"/>
        <v>300</v>
      </c>
      <c r="J181" s="6" t="s">
        <v>2009</v>
      </c>
    </row>
    <row r="182" spans="1:10" x14ac:dyDescent="0.3">
      <c r="A182" s="6" t="s">
        <v>2028</v>
      </c>
      <c r="B182" s="17" t="s">
        <v>744</v>
      </c>
      <c r="C182" s="17" t="s">
        <v>742</v>
      </c>
      <c r="D182" s="6">
        <v>1</v>
      </c>
      <c r="E182" s="6">
        <v>2</v>
      </c>
      <c r="F182" s="18" t="s">
        <v>2007</v>
      </c>
      <c r="G182" s="18" t="s">
        <v>2008</v>
      </c>
      <c r="H182" s="14">
        <v>0</v>
      </c>
      <c r="I182" s="13">
        <f t="shared" si="2"/>
        <v>300</v>
      </c>
      <c r="J182" s="6" t="s">
        <v>2009</v>
      </c>
    </row>
    <row r="183" spans="1:10" x14ac:dyDescent="0.3">
      <c r="A183" s="6" t="s">
        <v>2029</v>
      </c>
      <c r="B183" s="17" t="s">
        <v>744</v>
      </c>
      <c r="C183" s="17" t="s">
        <v>742</v>
      </c>
      <c r="D183" s="6">
        <v>1</v>
      </c>
      <c r="E183" s="6">
        <v>2</v>
      </c>
      <c r="F183" s="18" t="s">
        <v>996</v>
      </c>
      <c r="G183" s="18" t="s">
        <v>2030</v>
      </c>
      <c r="H183" s="14">
        <v>0</v>
      </c>
      <c r="I183" s="13">
        <f t="shared" si="2"/>
        <v>300</v>
      </c>
      <c r="J183" s="6" t="s">
        <v>2009</v>
      </c>
    </row>
    <row r="184" spans="1:10" x14ac:dyDescent="0.3">
      <c r="A184" s="6" t="s">
        <v>2031</v>
      </c>
      <c r="B184" s="17" t="s">
        <v>770</v>
      </c>
      <c r="C184" s="17" t="s">
        <v>768</v>
      </c>
      <c r="D184" s="6">
        <v>1</v>
      </c>
      <c r="E184" s="6">
        <v>2</v>
      </c>
      <c r="F184" s="18" t="s">
        <v>2012</v>
      </c>
      <c r="G184" s="18" t="s">
        <v>2032</v>
      </c>
      <c r="H184" s="14">
        <v>0</v>
      </c>
      <c r="I184" s="13">
        <f t="shared" si="2"/>
        <v>300</v>
      </c>
      <c r="J184" s="6" t="s">
        <v>2009</v>
      </c>
    </row>
    <row r="185" spans="1:10" x14ac:dyDescent="0.3">
      <c r="A185" s="6" t="s">
        <v>2033</v>
      </c>
      <c r="B185" s="17" t="s">
        <v>770</v>
      </c>
      <c r="C185" s="17" t="s">
        <v>768</v>
      </c>
      <c r="D185" s="6">
        <v>1</v>
      </c>
      <c r="E185" s="6">
        <v>2</v>
      </c>
      <c r="F185" s="18" t="s">
        <v>2012</v>
      </c>
      <c r="G185" s="18" t="s">
        <v>2032</v>
      </c>
      <c r="H185" s="14">
        <v>0</v>
      </c>
      <c r="I185" s="13">
        <f t="shared" si="2"/>
        <v>300</v>
      </c>
      <c r="J185" s="6" t="s">
        <v>2009</v>
      </c>
    </row>
  </sheetData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Y2"/>
  <sheetViews>
    <sheetView zoomScale="110" zoomScaleNormal="110" workbookViewId="0">
      <selection activeCell="B1" sqref="B1"/>
    </sheetView>
  </sheetViews>
  <sheetFormatPr defaultColWidth="8.77734375" defaultRowHeight="14.4" x14ac:dyDescent="0.3"/>
  <cols>
    <col min="1" max="1" width="8.44140625" bestFit="1" customWidth="1"/>
    <col min="2" max="2" width="9.44140625" bestFit="1" customWidth="1"/>
    <col min="3" max="4" width="10.33203125" bestFit="1" customWidth="1"/>
    <col min="5" max="5" width="10.109375" bestFit="1" customWidth="1"/>
    <col min="6" max="7" width="10.21875" bestFit="1" customWidth="1"/>
    <col min="8" max="9" width="10.33203125" bestFit="1" customWidth="1"/>
    <col min="10" max="13" width="10.21875" bestFit="1" customWidth="1"/>
    <col min="14" max="15" width="10.6640625" bestFit="1" customWidth="1"/>
    <col min="16" max="16" width="12.77734375" bestFit="1" customWidth="1"/>
    <col min="17" max="20" width="10.77734375" bestFit="1" customWidth="1"/>
    <col min="21" max="21" width="10.109375" bestFit="1" customWidth="1"/>
    <col min="22" max="24" width="10.21875" bestFit="1" customWidth="1"/>
    <col min="25" max="25" width="10.33203125" bestFit="1" customWidth="1"/>
    <col min="26" max="27" width="10.44140625" bestFit="1" customWidth="1"/>
    <col min="28" max="32" width="9.77734375" bestFit="1" customWidth="1"/>
    <col min="33" max="34" width="9.88671875" bestFit="1" customWidth="1"/>
    <col min="35" max="36" width="8.77734375" bestFit="1" customWidth="1"/>
    <col min="37" max="37" width="10.6640625" bestFit="1" customWidth="1"/>
    <col min="38" max="41" width="10" bestFit="1" customWidth="1"/>
    <col min="42" max="45" width="10.21875" bestFit="1" customWidth="1"/>
    <col min="46" max="47" width="9.88671875" bestFit="1" customWidth="1"/>
    <col min="48" max="49" width="9.77734375" bestFit="1" customWidth="1"/>
    <col min="50" max="51" width="10.44140625" bestFit="1" customWidth="1"/>
    <col min="52" max="52" width="13.109375" bestFit="1" customWidth="1"/>
    <col min="53" max="53" width="10.109375" bestFit="1" customWidth="1"/>
    <col min="54" max="55" width="10.33203125" bestFit="1" customWidth="1"/>
    <col min="56" max="56" width="10.88671875" bestFit="1" customWidth="1"/>
    <col min="57" max="60" width="10.5546875" bestFit="1" customWidth="1"/>
    <col min="61" max="63" width="8.6640625" bestFit="1" customWidth="1"/>
    <col min="64" max="67" width="10.88671875" bestFit="1" customWidth="1"/>
    <col min="68" max="68" width="12.77734375" bestFit="1" customWidth="1"/>
    <col min="69" max="69" width="9.6640625" bestFit="1" customWidth="1"/>
    <col min="70" max="70" width="11.77734375" bestFit="1" customWidth="1"/>
    <col min="71" max="71" width="10.21875" bestFit="1" customWidth="1"/>
    <col min="72" max="73" width="9.109375" bestFit="1" customWidth="1"/>
    <col min="74" max="75" width="10.21875" bestFit="1" customWidth="1"/>
    <col min="76" max="77" width="9.109375" bestFit="1" customWidth="1"/>
    <col min="78" max="78" width="10.21875" bestFit="1" customWidth="1"/>
    <col min="79" max="80" width="9.109375" bestFit="1" customWidth="1"/>
    <col min="81" max="83" width="11.44140625" bestFit="1" customWidth="1"/>
    <col min="84" max="84" width="16.77734375" bestFit="1" customWidth="1"/>
    <col min="85" max="85" width="6.6640625" bestFit="1" customWidth="1"/>
    <col min="86" max="87" width="6.44140625" bestFit="1" customWidth="1"/>
    <col min="88" max="89" width="6.5546875" bestFit="1" customWidth="1"/>
    <col min="90" max="93" width="7" bestFit="1" customWidth="1"/>
    <col min="94" max="97" width="6.5546875" bestFit="1" customWidth="1"/>
    <col min="98" max="99" width="6.6640625" bestFit="1" customWidth="1"/>
    <col min="100" max="101" width="7.109375" bestFit="1" customWidth="1"/>
    <col min="102" max="102" width="4.5546875" bestFit="1" customWidth="1"/>
    <col min="103" max="104" width="6.33203125" bestFit="1" customWidth="1"/>
    <col min="105" max="106" width="6.44140625" bestFit="1" customWidth="1"/>
    <col min="107" max="108" width="9.21875" bestFit="1" customWidth="1"/>
    <col min="109" max="110" width="12.88671875" bestFit="1" customWidth="1"/>
    <col min="111" max="112" width="6.44140625" bestFit="1" customWidth="1"/>
    <col min="113" max="114" width="6.21875" bestFit="1" customWidth="1"/>
    <col min="115" max="118" width="6.88671875" bestFit="1" customWidth="1"/>
    <col min="119" max="120" width="9.5546875" bestFit="1" customWidth="1"/>
    <col min="121" max="121" width="4.33203125" bestFit="1" customWidth="1"/>
    <col min="122" max="123" width="6.88671875" bestFit="1" customWidth="1"/>
    <col min="124" max="125" width="6.21875" bestFit="1" customWidth="1"/>
    <col min="126" max="128" width="9.5546875" bestFit="1" customWidth="1"/>
    <col min="129" max="130" width="8.6640625" bestFit="1" customWidth="1"/>
    <col min="131" max="131" width="7.109375" bestFit="1" customWidth="1"/>
    <col min="132" max="132" width="7.6640625" bestFit="1" customWidth="1"/>
    <col min="133" max="133" width="4.6640625" bestFit="1" customWidth="1"/>
    <col min="134" max="135" width="6.6640625" bestFit="1" customWidth="1"/>
    <col min="136" max="137" width="6.109375" bestFit="1" customWidth="1"/>
    <col min="138" max="139" width="9" bestFit="1" customWidth="1"/>
    <col min="140" max="141" width="8.21875" bestFit="1" customWidth="1"/>
    <col min="142" max="143" width="6.6640625" bestFit="1" customWidth="1"/>
    <col min="144" max="145" width="6.44140625" bestFit="1" customWidth="1"/>
    <col min="146" max="147" width="6.5546875" bestFit="1" customWidth="1"/>
    <col min="148" max="149" width="10.109375" bestFit="1" customWidth="1"/>
    <col min="150" max="151" width="7.21875" bestFit="1" customWidth="1"/>
    <col min="152" max="152" width="4" bestFit="1" customWidth="1"/>
    <col min="153" max="154" width="9.33203125" bestFit="1" customWidth="1"/>
    <col min="155" max="156" width="6.33203125" bestFit="1" customWidth="1"/>
    <col min="157" max="158" width="6" bestFit="1" customWidth="1"/>
    <col min="159" max="160" width="9" bestFit="1" customWidth="1"/>
    <col min="161" max="161" width="4.109375" bestFit="1" customWidth="1"/>
    <col min="162" max="162" width="5" bestFit="1" customWidth="1"/>
    <col min="163" max="164" width="7.109375" bestFit="1" customWidth="1"/>
    <col min="165" max="166" width="6" bestFit="1" customWidth="1"/>
    <col min="167" max="169" width="6.21875" bestFit="1" customWidth="1"/>
    <col min="170" max="171" width="6" bestFit="1" customWidth="1"/>
    <col min="172" max="174" width="6.6640625" bestFit="1" customWidth="1"/>
    <col min="175" max="176" width="5.88671875" bestFit="1" customWidth="1"/>
    <col min="177" max="179" width="6.44140625" bestFit="1" customWidth="1"/>
    <col min="180" max="181" width="7" bestFit="1" customWidth="1"/>
    <col min="182" max="1020" width="8.44140625" customWidth="1"/>
  </cols>
  <sheetData>
    <row r="1" spans="1:181" x14ac:dyDescent="0.3">
      <c r="A1" s="2" t="s">
        <v>31</v>
      </c>
      <c r="B1" s="6" t="str" cm="1">
        <f t="array" ref="B1:FX1">TRANSPOSE(_xlfn._xlws.FILTER(transformer!A2:A181,transformer!$E$2:$E$181&lt;&gt;0))</f>
        <v>AD_T2101</v>
      </c>
      <c r="C1" s="6" t="str">
        <v>ARK_T2101</v>
      </c>
      <c r="D1" s="6" t="str">
        <v>ARK_T2102</v>
      </c>
      <c r="E1" s="6" t="str">
        <v>BLC_T2101</v>
      </c>
      <c r="F1" s="6" t="str">
        <v>BVK_T2101</v>
      </c>
      <c r="G1" s="6" t="str">
        <v>BVK_T2102</v>
      </c>
      <c r="H1" s="6" t="str">
        <v>BYH_T2101</v>
      </c>
      <c r="I1" s="6" t="str">
        <v>BYH_T2102</v>
      </c>
      <c r="J1" s="6" t="str">
        <v>CBT_T2101</v>
      </c>
      <c r="K1" s="6" t="str">
        <v>CBT_T2102</v>
      </c>
      <c r="L1" s="6" t="str">
        <v>CBT_T2103</v>
      </c>
      <c r="M1" s="6" t="str">
        <v>CBT_T2104</v>
      </c>
      <c r="N1" s="6" t="str">
        <v>CDU_T2101</v>
      </c>
      <c r="O1" s="6" t="str">
        <v>CDU_T2102</v>
      </c>
      <c r="P1" s="13" t="str">
        <v>CKM_T2101</v>
      </c>
      <c r="Q1" s="6" t="str">
        <v>CKM_T2102</v>
      </c>
      <c r="R1" s="6" t="str">
        <v>CKM_T2103</v>
      </c>
      <c r="S1" s="6" t="str">
        <v>CKM_T2104</v>
      </c>
      <c r="T1" s="6" t="str">
        <v>CLA_T2102</v>
      </c>
      <c r="U1" s="6" t="str">
        <v>CSH_T2101</v>
      </c>
      <c r="V1" s="6" t="str">
        <v>CSH_T2102</v>
      </c>
      <c r="W1" s="6" t="str">
        <v>CSH_T2104</v>
      </c>
      <c r="X1" s="6" t="str">
        <v>CNB_T4101</v>
      </c>
      <c r="Y1" s="6" t="str">
        <v>CNB_T4102</v>
      </c>
      <c r="Z1" s="6" t="str">
        <v>CUL_T2101</v>
      </c>
      <c r="AA1" s="6" t="str">
        <v>DSN_T4201</v>
      </c>
      <c r="AB1" s="6" t="str">
        <v>DSN_T4202</v>
      </c>
      <c r="AC1" s="6" t="str">
        <v>FIN_T2101</v>
      </c>
      <c r="AD1" s="6" t="str">
        <v>FIN_T2102</v>
      </c>
      <c r="AE1" s="6" t="str">
        <v>FIN_T2103</v>
      </c>
      <c r="AF1" s="6" t="str">
        <v>FIN_T2104</v>
      </c>
      <c r="AG1" s="6" t="str">
        <v>FIN_T2105</v>
      </c>
      <c r="AH1" s="6" t="str">
        <v>FLA_T2101</v>
      </c>
      <c r="AI1" s="6" t="str">
        <v>FLA_T2102</v>
      </c>
      <c r="AJ1" s="6" t="str">
        <v>GI_T2101</v>
      </c>
      <c r="AK1" s="6" t="str">
        <v>GI_T2102</v>
      </c>
      <c r="AL1" s="6" t="str">
        <v>GOR_T2101</v>
      </c>
      <c r="AM1" s="6" t="str">
        <v>INC_T2102</v>
      </c>
      <c r="AN1" s="6" t="str">
        <v>INC_T2104</v>
      </c>
      <c r="AO1" s="6" t="str">
        <v>INC_T2101</v>
      </c>
      <c r="AP1" s="6" t="str">
        <v>INC_T2103</v>
      </c>
      <c r="AQ1" s="6" t="str">
        <v>KLN_T2101</v>
      </c>
      <c r="AR1" s="6" t="str">
        <v>KLN_T2102</v>
      </c>
      <c r="AS1" s="6" t="str">
        <v>KLN_T2103</v>
      </c>
      <c r="AT1" s="6" t="str">
        <v>KLN_T2104</v>
      </c>
      <c r="AU1" s="6" t="str">
        <v>KLP_T2101</v>
      </c>
      <c r="AV1" s="6" t="str">
        <v>KLP_T2102</v>
      </c>
      <c r="AW1" s="6" t="str">
        <v>KLS_T2101</v>
      </c>
      <c r="AX1" s="6" t="str">
        <v>KLS_T2102</v>
      </c>
      <c r="AY1" s="6" t="str">
        <v>KNR_T2101</v>
      </c>
      <c r="AZ1" s="6" t="str">
        <v>KNR_T2102</v>
      </c>
      <c r="BA1" s="6" t="str">
        <v>BLC_BELCAMP</v>
      </c>
      <c r="BB1" s="6" t="str">
        <v>CLA_T2101</v>
      </c>
      <c r="BC1" s="6" t="str">
        <v>KRA_T2101</v>
      </c>
      <c r="BD1" s="13" t="str">
        <v>KRA_T2102</v>
      </c>
      <c r="BE1" s="6" t="str">
        <v>LWD_T2101</v>
      </c>
      <c r="BF1" s="6" t="str">
        <v>LOU_T2101</v>
      </c>
      <c r="BG1" s="6" t="str">
        <v>LOU_T2103</v>
      </c>
      <c r="BH1" s="6" t="str">
        <v>LOU_T2102</v>
      </c>
      <c r="BI1" s="6" t="str">
        <v>LOU_T2104</v>
      </c>
      <c r="BJ1" s="6" t="str">
        <v>LOU_AT1</v>
      </c>
      <c r="BK1" s="6" t="str">
        <v>LOU_AT2</v>
      </c>
      <c r="BL1" s="6" t="str">
        <v>LOU_AT3</v>
      </c>
      <c r="BM1" s="6" t="str">
        <v>MAY_T2101</v>
      </c>
      <c r="BN1" s="6" t="str">
        <v>MAY_T2102</v>
      </c>
      <c r="BO1" s="6" t="str">
        <v>MAY_T2103</v>
      </c>
      <c r="BP1" s="6" t="str">
        <v>MAY_T2104</v>
      </c>
      <c r="BQ1" s="6" t="str">
        <v>MP_T4202_01</v>
      </c>
      <c r="BR1" s="6" t="str">
        <v>MP_T2101</v>
      </c>
      <c r="BS1" s="6" t="str">
        <v>MP_T4202_2</v>
      </c>
      <c r="BT1" s="6" t="str">
        <v>OST_T4202</v>
      </c>
      <c r="BU1" s="6" t="str">
        <v>PB_T2103</v>
      </c>
      <c r="BV1" s="6" t="str">
        <v>PB_T2104</v>
      </c>
      <c r="BW1" s="6" t="str">
        <v>RAF_T2101</v>
      </c>
      <c r="BX1" s="6" t="str">
        <v>RAF_T2102</v>
      </c>
      <c r="BY1" s="6" t="str">
        <v>SH_T2102</v>
      </c>
      <c r="BZ1" s="6" t="str">
        <v>SH_T2101</v>
      </c>
      <c r="CA1" s="6" t="str">
        <v>SRA_T2102</v>
      </c>
      <c r="CB1" s="6" t="str">
        <v>TB_T2101</v>
      </c>
      <c r="CC1" s="6" t="str">
        <v>TB_T2102</v>
      </c>
      <c r="CD1" s="6" t="str">
        <v>WOO_T4201</v>
      </c>
      <c r="CE1" s="6" t="str">
        <v>WOO_T4202</v>
      </c>
      <c r="CF1" s="6" t="str">
        <v>WOO_T4204</v>
      </c>
      <c r="CG1" s="6" t="str">
        <v>WOO_WOODLAND</v>
      </c>
      <c r="CH1" s="6" t="str">
        <v>AGH_1</v>
      </c>
      <c r="CI1" s="6" t="str">
        <v>AIR_1</v>
      </c>
      <c r="CJ1" s="6" t="str">
        <v>AIR_2</v>
      </c>
      <c r="CK1" s="6" t="str">
        <v>ANT_1</v>
      </c>
      <c r="CL1" s="6" t="str">
        <v>ANT_2</v>
      </c>
      <c r="CM1" s="6" t="str">
        <v>MKL_1</v>
      </c>
      <c r="CN1" s="6" t="str">
        <v>MKL_2</v>
      </c>
      <c r="CO1" s="6" t="str">
        <v>BMA_1</v>
      </c>
      <c r="CP1" s="6" t="str">
        <v>BMA_2</v>
      </c>
      <c r="CQ1" s="6" t="str">
        <v>BMA_3</v>
      </c>
      <c r="CR1" s="6" t="str">
        <v>BMA_4</v>
      </c>
      <c r="CS1" s="6" t="str">
        <v>BAN_1</v>
      </c>
      <c r="CT1" s="6" t="str">
        <v>BAN_2</v>
      </c>
      <c r="CU1" s="6" t="str">
        <v>BAN_3</v>
      </c>
      <c r="CV1" s="6" t="str">
        <v>BAN_4</v>
      </c>
      <c r="CW1" s="6" t="str">
        <v>BNH_1</v>
      </c>
      <c r="CX1" s="6" t="str">
        <v>BNH_2</v>
      </c>
      <c r="CY1" s="6" t="str">
        <v>BNM_1</v>
      </c>
      <c r="CZ1" s="6" t="str">
        <v>BNM_2</v>
      </c>
      <c r="DA1" s="6" t="str">
        <v>BRO</v>
      </c>
      <c r="DB1" s="6" t="str">
        <v>CAR_1</v>
      </c>
      <c r="DC1" s="6" t="str">
        <v>CAR_2</v>
      </c>
      <c r="DD1" s="6" t="str">
        <v>CEN_1</v>
      </c>
      <c r="DE1" s="6" t="str">
        <v>CEN_2</v>
      </c>
      <c r="DF1" s="6" t="str">
        <v>COL (N)_1</v>
      </c>
      <c r="DG1" s="6" t="str">
        <v>COL (N)_2</v>
      </c>
      <c r="DH1" s="6" t="str">
        <v>CPS_1_110/33</v>
      </c>
      <c r="DI1" s="6" t="str">
        <v>CPS_2_110/33</v>
      </c>
      <c r="DJ1" s="6" t="str">
        <v>CRG_1</v>
      </c>
      <c r="DK1" s="6" t="str">
        <v>CRG_2</v>
      </c>
      <c r="DL1" s="6" t="str">
        <v>CRE_1</v>
      </c>
      <c r="DM1" s="6" t="str">
        <v>CRE_2</v>
      </c>
      <c r="DN1" s="6" t="str">
        <v>DON_1</v>
      </c>
      <c r="DO1" s="6" t="str">
        <v>DON_2</v>
      </c>
      <c r="DP1" s="6" t="str">
        <v>DON_3</v>
      </c>
      <c r="DQ1" s="6" t="str">
        <v>DON_4</v>
      </c>
      <c r="DR1" s="6" t="str">
        <v>DRU (N)_1</v>
      </c>
      <c r="DS1" s="6" t="str">
        <v>DRU (N)_2</v>
      </c>
      <c r="DT1" s="6" t="str">
        <v>CRR</v>
      </c>
      <c r="DU1" s="6" t="str">
        <v>DUN_1</v>
      </c>
      <c r="DV1" s="6" t="str">
        <v>DUN_2</v>
      </c>
      <c r="DW1" s="6" t="str">
        <v>EDE_1</v>
      </c>
      <c r="DX1" s="6" t="str">
        <v>EDE_2</v>
      </c>
      <c r="DY1" s="6" t="str">
        <v>ENN (N)_1</v>
      </c>
      <c r="DZ1" s="6" t="str">
        <v>ENN (N)_2</v>
      </c>
      <c r="EA1" s="6" t="str">
        <v>ENN (N)_3</v>
      </c>
      <c r="EB1" s="6" t="str">
        <v>FIN (N)_1</v>
      </c>
      <c r="EC1" s="6" t="str">
        <v>FIN (N)_2</v>
      </c>
      <c r="ED1" s="6" t="str">
        <v>GLE (N)</v>
      </c>
      <c r="EE1" s="6" t="str">
        <v>GOR (N)</v>
      </c>
      <c r="EF1" s="6" t="str">
        <v>KMT</v>
      </c>
      <c r="EG1" s="6" t="str">
        <v>KNO_1</v>
      </c>
      <c r="EH1" s="6" t="str">
        <v>KNO_2</v>
      </c>
      <c r="EI1" s="6" t="str">
        <v>LAR_1</v>
      </c>
      <c r="EJ1" s="6" t="str">
        <v>LAR_2</v>
      </c>
      <c r="EK1" s="6" t="str">
        <v>LIM (N)_1</v>
      </c>
      <c r="EL1" s="6" t="str">
        <v>LIM (N)_2</v>
      </c>
      <c r="EM1" s="6" t="str">
        <v>LIS (N)_1</v>
      </c>
      <c r="EN1" s="6" t="str">
        <v>LIS (N)_2</v>
      </c>
      <c r="EO1" s="6" t="str">
        <v>LMR_1</v>
      </c>
      <c r="EP1" s="6" t="str">
        <v>LMR_2</v>
      </c>
      <c r="EQ1" s="6" t="str">
        <v>LOG_1</v>
      </c>
      <c r="ER1" s="6" t="str">
        <v>LOG_2</v>
      </c>
      <c r="ES1" s="6" t="str">
        <v>NAR_1</v>
      </c>
      <c r="ET1" s="6" t="str">
        <v>NAR_2</v>
      </c>
      <c r="EU1" s="6" t="str">
        <v>NEW (N)_1</v>
      </c>
      <c r="EV1" s="6" t="str">
        <v>NEW (N)_2</v>
      </c>
      <c r="EW1" s="6" t="str">
        <v>OMA_1</v>
      </c>
      <c r="EX1" s="6" t="str">
        <v>OMA_2</v>
      </c>
      <c r="EY1" s="6" t="str">
        <v>RSK</v>
      </c>
      <c r="EZ1" s="6" t="str">
        <v>RAT (N)_1</v>
      </c>
      <c r="FA1" s="6" t="str">
        <v>RAT (N)_2</v>
      </c>
      <c r="FB1" s="6" t="str">
        <v>ROS_1</v>
      </c>
      <c r="FC1" s="6" t="str">
        <v>ROS_2</v>
      </c>
      <c r="FD1" s="6" t="str">
        <v>SPR_1</v>
      </c>
      <c r="FE1" s="6" t="str">
        <v>SPR_2</v>
      </c>
      <c r="FF1" s="6" t="str">
        <v>STR (N)_1</v>
      </c>
      <c r="FG1" s="6" t="str">
        <v>STR (N)_2</v>
      </c>
      <c r="FH1" s="16" t="str">
        <v>TRE</v>
      </c>
      <c r="FI1" s="6" t="str">
        <v>TMN</v>
      </c>
      <c r="FJ1" s="6" t="str">
        <v>WAR_1</v>
      </c>
      <c r="FK1" s="6" t="str">
        <v>WAR_2</v>
      </c>
      <c r="FL1" s="6" t="str">
        <v>BPS_1</v>
      </c>
      <c r="FM1" s="6" t="str">
        <v>BPS_2</v>
      </c>
      <c r="FN1" s="6" t="str">
        <v>CAS_1</v>
      </c>
      <c r="FO1" s="6" t="str">
        <v>CAS_2</v>
      </c>
      <c r="FP1" s="6" t="str">
        <v>CAS_3</v>
      </c>
      <c r="FQ1" s="6" t="str">
        <v>CPS_1</v>
      </c>
      <c r="FR1" s="6" t="str">
        <v>CPS_2</v>
      </c>
      <c r="FS1" s="6" t="str">
        <v>HAN_1</v>
      </c>
      <c r="FT1" s="6" t="str">
        <v>HAN_2</v>
      </c>
      <c r="FU1" s="6" t="str">
        <v>HAN_3</v>
      </c>
      <c r="FV1" s="6" t="str">
        <v>KEL_1</v>
      </c>
      <c r="FW1" s="6" t="str">
        <v>KEL_2</v>
      </c>
      <c r="FX1" s="6" t="str">
        <v>TAN_1</v>
      </c>
      <c r="FY1" s="6"/>
    </row>
    <row r="2" spans="1:181" x14ac:dyDescent="0.3">
      <c r="A2" s="4" t="s">
        <v>34</v>
      </c>
      <c r="B2" s="6" t="str" cm="1">
        <f t="array" ref="B2:FX2">TRANSPOSE(_xlfn._xlws.FILTER(transformer!$J$2:$J$181,transformer!$E$2:$E$181&lt;&gt;0))</f>
        <v>125</v>
      </c>
      <c r="C2" s="6" t="str">
        <v>63</v>
      </c>
      <c r="D2" s="6" t="str">
        <v>125</v>
      </c>
      <c r="E2" s="6" t="str">
        <v>250</v>
      </c>
      <c r="F2" s="6" t="str">
        <v>250</v>
      </c>
      <c r="G2" s="6" t="str">
        <v>250</v>
      </c>
      <c r="H2" s="6" t="str">
        <v>250</v>
      </c>
      <c r="I2" s="6" t="str">
        <v>250</v>
      </c>
      <c r="J2" s="6" t="str">
        <v>250</v>
      </c>
      <c r="K2" s="6" t="str">
        <v>250</v>
      </c>
      <c r="L2" s="6" t="str">
        <v>250</v>
      </c>
      <c r="M2" s="6" t="str">
        <v>250</v>
      </c>
      <c r="N2" s="6" t="str">
        <v>250</v>
      </c>
      <c r="O2" s="6" t="str">
        <v>250</v>
      </c>
      <c r="P2" s="13" t="str">
        <v>250</v>
      </c>
      <c r="Q2" s="6" t="str">
        <v>250</v>
      </c>
      <c r="R2" s="6" t="str">
        <v>250</v>
      </c>
      <c r="S2" s="6" t="str">
        <v>250</v>
      </c>
      <c r="T2" s="6" t="str">
        <v>250</v>
      </c>
      <c r="U2" s="6" t="str">
        <v>238</v>
      </c>
      <c r="V2" s="6" t="str">
        <v>250</v>
      </c>
      <c r="W2" s="6" t="str">
        <v>175</v>
      </c>
      <c r="X2" s="6">
        <v>500</v>
      </c>
      <c r="Y2" s="6">
        <v>500</v>
      </c>
      <c r="Z2" s="6" t="str">
        <v>250</v>
      </c>
      <c r="AA2" s="6" t="str">
        <v>500</v>
      </c>
      <c r="AB2" s="6" t="str">
        <v>500</v>
      </c>
      <c r="AC2" s="6" t="str">
        <v>250</v>
      </c>
      <c r="AD2" s="6" t="str">
        <v>250</v>
      </c>
      <c r="AE2" s="6" t="str">
        <v>250</v>
      </c>
      <c r="AF2" s="6" t="str">
        <v>250</v>
      </c>
      <c r="AG2" s="6" t="str">
        <v>250</v>
      </c>
      <c r="AH2" s="6" t="str">
        <v>125</v>
      </c>
      <c r="AI2" s="6" t="str">
        <v>125</v>
      </c>
      <c r="AJ2" s="6" t="str">
        <v>125</v>
      </c>
      <c r="AK2" s="6" t="str">
        <v>125</v>
      </c>
      <c r="AL2" s="6" t="str">
        <v>250</v>
      </c>
      <c r="AM2" s="6" t="str">
        <v>250</v>
      </c>
      <c r="AN2" s="6" t="str">
        <v>250</v>
      </c>
      <c r="AO2" s="6" t="str">
        <v>250</v>
      </c>
      <c r="AP2" s="6" t="str">
        <v>250</v>
      </c>
      <c r="AQ2" s="6" t="str">
        <v>63</v>
      </c>
      <c r="AR2" s="6" t="str">
        <v>63</v>
      </c>
      <c r="AS2" s="6" t="str">
        <v>250</v>
      </c>
      <c r="AT2" s="6" t="str">
        <v>125</v>
      </c>
      <c r="AU2" s="6" t="str">
        <v>250</v>
      </c>
      <c r="AV2" s="6" t="str">
        <v>250</v>
      </c>
      <c r="AW2" s="6" t="str">
        <v>125</v>
      </c>
      <c r="AX2" s="6" t="str">
        <v>125</v>
      </c>
      <c r="AY2" s="6" t="str">
        <v>250</v>
      </c>
      <c r="AZ2" s="6" t="str">
        <v>250</v>
      </c>
      <c r="BA2" s="6" t="str">
        <v>250</v>
      </c>
      <c r="BB2" s="6" t="str">
        <v>250</v>
      </c>
      <c r="BC2" s="6" t="str">
        <v>250</v>
      </c>
      <c r="BD2" s="6" t="str">
        <v>250</v>
      </c>
      <c r="BE2" s="6" t="str">
        <v>250</v>
      </c>
      <c r="BF2" s="6" t="str">
        <v>125</v>
      </c>
      <c r="BG2" s="6" t="str">
        <v>125</v>
      </c>
      <c r="BH2" s="6" t="str">
        <v>125</v>
      </c>
      <c r="BI2" s="6" t="str">
        <v>250</v>
      </c>
      <c r="BJ2" s="6" t="str">
        <v>300</v>
      </c>
      <c r="BK2" s="6" t="str">
        <v>600</v>
      </c>
      <c r="BL2" s="6" t="str">
        <v>300</v>
      </c>
      <c r="BM2" s="6" t="str">
        <v>125</v>
      </c>
      <c r="BN2" s="6" t="str">
        <v>238</v>
      </c>
      <c r="BO2" s="6" t="str">
        <v>125</v>
      </c>
      <c r="BP2" s="6" t="str">
        <v>250</v>
      </c>
      <c r="BQ2" s="6" t="str">
        <v>500</v>
      </c>
      <c r="BR2" s="6" t="str">
        <v>250</v>
      </c>
      <c r="BS2" s="6" t="str">
        <v>500</v>
      </c>
      <c r="BT2" s="6" t="str">
        <v>500</v>
      </c>
      <c r="BU2" s="6" t="str">
        <v>250</v>
      </c>
      <c r="BV2" s="6" t="str">
        <v>250</v>
      </c>
      <c r="BW2" s="6" t="str">
        <v>238</v>
      </c>
      <c r="BX2" s="6" t="str">
        <v>250</v>
      </c>
      <c r="BY2" s="6" t="str">
        <v>125</v>
      </c>
      <c r="BZ2" s="6" t="str">
        <v>125</v>
      </c>
      <c r="CA2" s="6" t="str">
        <v>250</v>
      </c>
      <c r="CB2" s="6" t="str">
        <v>238</v>
      </c>
      <c r="CC2" s="6" t="str">
        <v>238</v>
      </c>
      <c r="CD2" s="6" t="str">
        <v>500</v>
      </c>
      <c r="CE2" s="6" t="str">
        <v>500</v>
      </c>
      <c r="CF2" s="6" t="str">
        <v>550</v>
      </c>
      <c r="CG2" s="6" t="str">
        <v>582</v>
      </c>
      <c r="CH2" s="6" t="str">
        <v>90</v>
      </c>
      <c r="CI2" s="6">
        <v>60</v>
      </c>
      <c r="CJ2" s="6">
        <v>60</v>
      </c>
      <c r="CK2" s="6" t="str">
        <v>90</v>
      </c>
      <c r="CL2" s="6" t="str">
        <v>90</v>
      </c>
      <c r="CM2" s="6" t="str">
        <v>90</v>
      </c>
      <c r="CN2" s="6" t="str">
        <v>90</v>
      </c>
      <c r="CO2" s="6" t="str">
        <v>90</v>
      </c>
      <c r="CP2" s="6" t="str">
        <v>90</v>
      </c>
      <c r="CQ2" s="6" t="str">
        <v>90</v>
      </c>
      <c r="CR2" s="6" t="str">
        <v>90</v>
      </c>
      <c r="CS2" s="6" t="str">
        <v>30</v>
      </c>
      <c r="CT2" s="6" t="str">
        <v>30</v>
      </c>
      <c r="CU2" s="6" t="str">
        <v>30</v>
      </c>
      <c r="CV2" s="6" t="str">
        <v>30</v>
      </c>
      <c r="CW2" s="6" t="str">
        <v>90</v>
      </c>
      <c r="CX2" s="6" t="str">
        <v>90</v>
      </c>
      <c r="CY2" s="6" t="str">
        <v>90</v>
      </c>
      <c r="CZ2" s="6" t="str">
        <v>90</v>
      </c>
      <c r="DA2" s="6" t="str">
        <v>100</v>
      </c>
      <c r="DB2" s="6" t="str">
        <v>90</v>
      </c>
      <c r="DC2" s="6" t="str">
        <v>90</v>
      </c>
      <c r="DD2" s="6" t="str">
        <v>90</v>
      </c>
      <c r="DE2" s="6" t="str">
        <v>90</v>
      </c>
      <c r="DF2" s="6" t="str">
        <v>60</v>
      </c>
      <c r="DG2" s="6" t="str">
        <v>60</v>
      </c>
      <c r="DH2" s="6" t="str">
        <v>90</v>
      </c>
      <c r="DI2" s="6" t="str">
        <v>90</v>
      </c>
      <c r="DJ2" s="6" t="str">
        <v>60</v>
      </c>
      <c r="DK2" s="6" t="str">
        <v>60</v>
      </c>
      <c r="DL2" s="6" t="str">
        <v>75</v>
      </c>
      <c r="DM2" s="6" t="str">
        <v>75</v>
      </c>
      <c r="DN2" s="6" t="str">
        <v>60</v>
      </c>
      <c r="DO2" s="6" t="str">
        <v>60</v>
      </c>
      <c r="DP2" s="6" t="str">
        <v>90</v>
      </c>
      <c r="DQ2" s="6" t="str">
        <v>60</v>
      </c>
      <c r="DR2" s="6" t="str">
        <v>90</v>
      </c>
      <c r="DS2" s="6" t="str">
        <v>90</v>
      </c>
      <c r="DT2" s="6" t="str">
        <v>90</v>
      </c>
      <c r="DU2" s="6" t="str">
        <v>90</v>
      </c>
      <c r="DV2" s="6" t="str">
        <v>90</v>
      </c>
      <c r="DW2" s="6" t="str">
        <v>45</v>
      </c>
      <c r="DX2" s="6" t="str">
        <v>45</v>
      </c>
      <c r="DY2" s="6" t="str">
        <v>45</v>
      </c>
      <c r="DZ2" s="6" t="str">
        <v>45</v>
      </c>
      <c r="EA2" s="6" t="str">
        <v>60</v>
      </c>
      <c r="EB2" s="6" t="str">
        <v>45</v>
      </c>
      <c r="EC2" s="6" t="str">
        <v>45</v>
      </c>
      <c r="ED2" s="6" t="str">
        <v>60</v>
      </c>
      <c r="EE2" s="6" t="str">
        <v>90</v>
      </c>
      <c r="EF2" s="6" t="str">
        <v>90</v>
      </c>
      <c r="EG2" s="6" t="str">
        <v>90</v>
      </c>
      <c r="EH2" s="6" t="str">
        <v>90</v>
      </c>
      <c r="EI2" s="6" t="str">
        <v>45</v>
      </c>
      <c r="EJ2" s="6" t="str">
        <v>45</v>
      </c>
      <c r="EK2" s="6" t="str">
        <v>45</v>
      </c>
      <c r="EL2" s="6" t="str">
        <v>45</v>
      </c>
      <c r="EM2" s="6" t="str">
        <v>90</v>
      </c>
      <c r="EN2" s="6" t="str">
        <v>90</v>
      </c>
      <c r="EO2" s="6" t="str">
        <v>45</v>
      </c>
      <c r="EP2" s="6" t="str">
        <v>45</v>
      </c>
      <c r="EQ2" s="6" t="str">
        <v>45</v>
      </c>
      <c r="ER2" s="6" t="str">
        <v>45</v>
      </c>
      <c r="ES2" s="6" t="str">
        <v>60</v>
      </c>
      <c r="ET2" s="6" t="str">
        <v>60</v>
      </c>
      <c r="EU2" s="6" t="str">
        <v>90</v>
      </c>
      <c r="EV2" s="6" t="str">
        <v>90</v>
      </c>
      <c r="EW2" s="6" t="str">
        <v>90</v>
      </c>
      <c r="EX2" s="6" t="str">
        <v>90</v>
      </c>
      <c r="EY2" s="6" t="str">
        <v>90</v>
      </c>
      <c r="EZ2" s="6" t="str">
        <v>90</v>
      </c>
      <c r="FA2" s="6" t="str">
        <v>90</v>
      </c>
      <c r="FB2" s="6" t="str">
        <v>90</v>
      </c>
      <c r="FC2" s="6" t="str">
        <v>90</v>
      </c>
      <c r="FD2" s="6" t="str">
        <v>90</v>
      </c>
      <c r="FE2" s="6" t="str">
        <v>90</v>
      </c>
      <c r="FF2" s="6" t="str">
        <v>45</v>
      </c>
      <c r="FG2" s="6" t="str">
        <v>45</v>
      </c>
      <c r="FH2" s="16" t="str">
        <v>90</v>
      </c>
      <c r="FI2" s="6" t="str">
        <v>60</v>
      </c>
      <c r="FJ2" s="6" t="str">
        <v>90</v>
      </c>
      <c r="FK2" s="6" t="str">
        <v>90</v>
      </c>
      <c r="FL2" s="6" t="str">
        <v>240</v>
      </c>
      <c r="FM2" s="6" t="str">
        <v>240</v>
      </c>
      <c r="FN2" s="6" t="str">
        <v>240</v>
      </c>
      <c r="FO2" s="6" t="str">
        <v>240</v>
      </c>
      <c r="FP2" s="6" t="str">
        <v>240</v>
      </c>
      <c r="FQ2" s="6" t="str">
        <v>240</v>
      </c>
      <c r="FR2" s="6" t="str">
        <v>240</v>
      </c>
      <c r="FS2" s="6" t="str">
        <v>240</v>
      </c>
      <c r="FT2" s="6" t="str">
        <v>240</v>
      </c>
      <c r="FU2" s="6" t="str">
        <v>240</v>
      </c>
      <c r="FV2" s="6" t="str">
        <v>240</v>
      </c>
      <c r="FW2" s="6" t="str">
        <v>240</v>
      </c>
      <c r="FX2" s="6" t="str">
        <v>240</v>
      </c>
      <c r="FY2" s="6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R295"/>
  <sheetViews>
    <sheetView tabSelected="1" zoomScale="55" zoomScaleNormal="55" workbookViewId="0">
      <selection activeCell="Q9" sqref="Q9"/>
    </sheetView>
  </sheetViews>
  <sheetFormatPr defaultColWidth="8.77734375" defaultRowHeight="14.4" x14ac:dyDescent="0.3"/>
  <cols>
    <col min="1" max="1" width="15.33203125" bestFit="1" customWidth="1"/>
    <col min="2" max="2" width="12.33203125" bestFit="1" customWidth="1"/>
    <col min="3" max="3" width="17.33203125" bestFit="1" customWidth="1"/>
    <col min="4" max="4" width="51.33203125" bestFit="1" customWidth="1"/>
    <col min="5" max="5" width="17.33203125" bestFit="1" customWidth="1"/>
    <col min="6" max="6" width="9.77734375" bestFit="1" customWidth="1"/>
    <col min="7" max="7" width="13.109375" customWidth="1"/>
    <col min="8" max="8" width="63.5546875" bestFit="1" customWidth="1"/>
    <col min="9" max="9" width="56.88671875" customWidth="1"/>
    <col min="10" max="10" width="15.44140625" bestFit="1" customWidth="1"/>
    <col min="11" max="11" width="11.88671875" bestFit="1" customWidth="1"/>
    <col min="12" max="12" width="12.21875" bestFit="1" customWidth="1"/>
    <col min="13" max="13" width="15.21875" bestFit="1" customWidth="1"/>
    <col min="14" max="14" width="13.33203125" bestFit="1" customWidth="1"/>
    <col min="15" max="15" width="14.44140625" bestFit="1" customWidth="1"/>
    <col min="16" max="16" width="10.77734375" bestFit="1" customWidth="1"/>
    <col min="17" max="17" width="13.21875" customWidth="1"/>
    <col min="18" max="18" width="9.6640625" bestFit="1" customWidth="1"/>
    <col min="19" max="1018" width="8.44140625" customWidth="1"/>
  </cols>
  <sheetData>
    <row r="1" spans="1:18" x14ac:dyDescent="0.3">
      <c r="A1" s="1" t="s">
        <v>4</v>
      </c>
      <c r="B1" s="1" t="s">
        <v>0</v>
      </c>
      <c r="C1" s="1" t="s">
        <v>2034</v>
      </c>
      <c r="D1" s="1" t="s">
        <v>810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35</v>
      </c>
      <c r="J1" s="1" t="s">
        <v>6</v>
      </c>
      <c r="K1" s="1" t="s">
        <v>15</v>
      </c>
      <c r="L1" s="1" t="s">
        <v>16</v>
      </c>
      <c r="M1" s="1" t="s">
        <v>18</v>
      </c>
      <c r="N1" s="1" t="s">
        <v>27</v>
      </c>
      <c r="O1" s="1" t="s">
        <v>19</v>
      </c>
      <c r="P1" s="1" t="s">
        <v>20</v>
      </c>
      <c r="Q1" s="2" t="s">
        <v>21</v>
      </c>
      <c r="R1" s="2" t="s">
        <v>17</v>
      </c>
    </row>
    <row r="2" spans="1:18" s="8" customFormat="1" x14ac:dyDescent="0.3">
      <c r="A2" s="3" t="s">
        <v>808</v>
      </c>
      <c r="B2" s="4" t="s">
        <v>2036</v>
      </c>
      <c r="C2" s="19" t="s">
        <v>2036</v>
      </c>
      <c r="D2" s="19" t="s">
        <v>2035</v>
      </c>
      <c r="E2" s="3" t="s">
        <v>3167</v>
      </c>
      <c r="F2" s="3"/>
      <c r="G2" s="3"/>
      <c r="H2" s="3" t="s">
        <v>3135</v>
      </c>
      <c r="I2" s="3" t="s">
        <v>2037</v>
      </c>
      <c r="J2" s="3">
        <v>1</v>
      </c>
      <c r="K2" s="12">
        <v>-504</v>
      </c>
      <c r="L2" s="11">
        <v>526</v>
      </c>
      <c r="M2" s="12" t="s">
        <v>2038</v>
      </c>
      <c r="N2" s="3" t="s">
        <v>28</v>
      </c>
      <c r="O2" s="3">
        <v>70</v>
      </c>
      <c r="P2" s="3">
        <v>0</v>
      </c>
      <c r="Q2" s="24">
        <v>10000</v>
      </c>
      <c r="R2" s="3">
        <f>O2</f>
        <v>70</v>
      </c>
    </row>
    <row r="3" spans="1:18" s="8" customFormat="1" x14ac:dyDescent="0.3">
      <c r="A3" s="3" t="s">
        <v>411</v>
      </c>
      <c r="B3" s="4" t="s">
        <v>2041</v>
      </c>
      <c r="C3" s="19" t="s">
        <v>2040</v>
      </c>
      <c r="D3" s="19" t="s">
        <v>2039</v>
      </c>
      <c r="E3" s="3" t="s">
        <v>3167</v>
      </c>
      <c r="F3" s="3"/>
      <c r="G3" s="3"/>
      <c r="H3" s="3" t="s">
        <v>3136</v>
      </c>
      <c r="I3" s="3" t="s">
        <v>2037</v>
      </c>
      <c r="J3" s="3">
        <v>1</v>
      </c>
      <c r="K3" s="3">
        <v>0</v>
      </c>
      <c r="L3" s="4">
        <v>27</v>
      </c>
      <c r="M3" s="3" t="s">
        <v>2042</v>
      </c>
      <c r="N3" s="3" t="s">
        <v>28</v>
      </c>
      <c r="O3" s="3">
        <v>0</v>
      </c>
      <c r="P3" s="3">
        <v>0</v>
      </c>
      <c r="Q3" s="24">
        <v>9000</v>
      </c>
      <c r="R3" s="3">
        <f t="shared" ref="R3:R66" si="0">O3</f>
        <v>0</v>
      </c>
    </row>
    <row r="4" spans="1:18" s="8" customFormat="1" x14ac:dyDescent="0.3">
      <c r="A4" s="3" t="s">
        <v>418</v>
      </c>
      <c r="B4" s="4" t="s">
        <v>2045</v>
      </c>
      <c r="C4" s="19" t="s">
        <v>2044</v>
      </c>
      <c r="D4" s="19" t="s">
        <v>2043</v>
      </c>
      <c r="E4" s="3" t="s">
        <v>3167</v>
      </c>
      <c r="F4" s="3"/>
      <c r="G4" s="3"/>
      <c r="H4" s="3" t="s">
        <v>3135</v>
      </c>
      <c r="I4" s="3" t="s">
        <v>2037</v>
      </c>
      <c r="J4" s="23">
        <v>0</v>
      </c>
      <c r="K4" s="12">
        <v>-500</v>
      </c>
      <c r="L4" s="11">
        <v>500</v>
      </c>
      <c r="M4" s="12" t="s">
        <v>2038</v>
      </c>
      <c r="N4" s="3" t="s">
        <v>28</v>
      </c>
      <c r="O4" s="3">
        <v>70</v>
      </c>
      <c r="P4" s="3">
        <v>0</v>
      </c>
      <c r="Q4" s="24">
        <v>10000</v>
      </c>
      <c r="R4" s="3">
        <f t="shared" si="0"/>
        <v>70</v>
      </c>
    </row>
    <row r="5" spans="1:18" s="8" customFormat="1" x14ac:dyDescent="0.3">
      <c r="A5" s="3" t="s">
        <v>714</v>
      </c>
      <c r="B5" s="4" t="s">
        <v>2048</v>
      </c>
      <c r="C5" s="19" t="s">
        <v>2047</v>
      </c>
      <c r="D5" s="19" t="s">
        <v>2046</v>
      </c>
      <c r="E5" s="3" t="s">
        <v>3167</v>
      </c>
      <c r="F5" s="3"/>
      <c r="G5" s="3"/>
      <c r="H5" s="3" t="s">
        <v>3137</v>
      </c>
      <c r="I5" s="3" t="s">
        <v>2037</v>
      </c>
      <c r="J5" s="3">
        <v>1</v>
      </c>
      <c r="K5" s="3">
        <v>0</v>
      </c>
      <c r="L5" s="4">
        <v>58</v>
      </c>
      <c r="M5" s="3" t="s">
        <v>2042</v>
      </c>
      <c r="N5" s="3" t="s">
        <v>28</v>
      </c>
      <c r="O5" s="3">
        <v>0</v>
      </c>
      <c r="P5" s="3">
        <v>0</v>
      </c>
      <c r="Q5" s="24">
        <v>9000</v>
      </c>
      <c r="R5" s="3">
        <f t="shared" si="0"/>
        <v>0</v>
      </c>
    </row>
    <row r="6" spans="1:18" s="8" customFormat="1" x14ac:dyDescent="0.3">
      <c r="A6" s="3" t="s">
        <v>716</v>
      </c>
      <c r="B6" s="4" t="s">
        <v>2051</v>
      </c>
      <c r="C6" s="19" t="s">
        <v>2050</v>
      </c>
      <c r="D6" s="19" t="s">
        <v>2049</v>
      </c>
      <c r="E6" s="3" t="s">
        <v>3167</v>
      </c>
      <c r="F6" s="3"/>
      <c r="G6" s="3"/>
      <c r="H6" s="3" t="s">
        <v>3138</v>
      </c>
      <c r="I6" s="3" t="s">
        <v>2037</v>
      </c>
      <c r="J6" s="3">
        <v>1</v>
      </c>
      <c r="K6" s="3">
        <v>0</v>
      </c>
      <c r="L6" s="4">
        <v>27</v>
      </c>
      <c r="M6" s="3" t="s">
        <v>2042</v>
      </c>
      <c r="N6" s="3" t="s">
        <v>28</v>
      </c>
      <c r="O6" s="3">
        <v>0</v>
      </c>
      <c r="P6" s="3">
        <v>0</v>
      </c>
      <c r="Q6" s="24">
        <v>9000</v>
      </c>
      <c r="R6" s="3">
        <f t="shared" si="0"/>
        <v>0</v>
      </c>
    </row>
    <row r="7" spans="1:18" s="8" customFormat="1" x14ac:dyDescent="0.3">
      <c r="A7" s="3" t="s">
        <v>716</v>
      </c>
      <c r="B7" s="4" t="s">
        <v>2054</v>
      </c>
      <c r="C7" s="19" t="s">
        <v>2053</v>
      </c>
      <c r="D7" s="19" t="s">
        <v>2052</v>
      </c>
      <c r="E7" s="3" t="s">
        <v>3167</v>
      </c>
      <c r="F7" s="3"/>
      <c r="G7" s="3"/>
      <c r="H7" s="3" t="s">
        <v>3138</v>
      </c>
      <c r="I7" s="3" t="s">
        <v>2037</v>
      </c>
      <c r="J7" s="3">
        <v>1</v>
      </c>
      <c r="K7" s="3">
        <v>0</v>
      </c>
      <c r="L7" s="4">
        <v>45</v>
      </c>
      <c r="M7" s="3" t="s">
        <v>2042</v>
      </c>
      <c r="N7" s="3" t="s">
        <v>28</v>
      </c>
      <c r="O7" s="3">
        <v>0</v>
      </c>
      <c r="P7" s="3">
        <v>0</v>
      </c>
      <c r="Q7" s="24">
        <v>9000</v>
      </c>
      <c r="R7" s="3">
        <f t="shared" si="0"/>
        <v>0</v>
      </c>
    </row>
    <row r="8" spans="1:18" s="8" customFormat="1" x14ac:dyDescent="0.3">
      <c r="A8" s="3" t="s">
        <v>713</v>
      </c>
      <c r="B8" s="4" t="s">
        <v>2057</v>
      </c>
      <c r="C8" s="19" t="s">
        <v>2056</v>
      </c>
      <c r="D8" s="19" t="s">
        <v>2055</v>
      </c>
      <c r="E8" s="3" t="s">
        <v>3167</v>
      </c>
      <c r="F8" s="3"/>
      <c r="G8" s="3"/>
      <c r="H8" s="3" t="s">
        <v>3139</v>
      </c>
      <c r="I8" s="3" t="s">
        <v>2037</v>
      </c>
      <c r="J8" s="3">
        <v>1</v>
      </c>
      <c r="K8" s="3">
        <v>0</v>
      </c>
      <c r="L8" s="4">
        <v>89</v>
      </c>
      <c r="M8" s="3" t="s">
        <v>2042</v>
      </c>
      <c r="N8" s="3" t="s">
        <v>28</v>
      </c>
      <c r="O8" s="3">
        <v>0</v>
      </c>
      <c r="P8" s="3">
        <v>0</v>
      </c>
      <c r="Q8" s="24">
        <v>9000</v>
      </c>
      <c r="R8" s="3">
        <f t="shared" si="0"/>
        <v>0</v>
      </c>
    </row>
    <row r="9" spans="1:18" s="8" customFormat="1" x14ac:dyDescent="0.3">
      <c r="A9" s="3" t="s">
        <v>713</v>
      </c>
      <c r="B9" s="4" t="s">
        <v>2060</v>
      </c>
      <c r="C9" s="19" t="s">
        <v>2059</v>
      </c>
      <c r="D9" s="19" t="s">
        <v>2058</v>
      </c>
      <c r="E9" s="3" t="s">
        <v>3167</v>
      </c>
      <c r="F9" s="3"/>
      <c r="G9" s="3"/>
      <c r="H9" s="3" t="s">
        <v>3139</v>
      </c>
      <c r="I9" s="3" t="s">
        <v>2037</v>
      </c>
      <c r="J9" s="3">
        <v>1</v>
      </c>
      <c r="K9" s="3">
        <v>0</v>
      </c>
      <c r="L9" s="4">
        <v>83</v>
      </c>
      <c r="M9" s="3" t="s">
        <v>2042</v>
      </c>
      <c r="N9" s="3" t="s">
        <v>28</v>
      </c>
      <c r="O9" s="3">
        <v>0</v>
      </c>
      <c r="P9" s="3">
        <v>0</v>
      </c>
      <c r="Q9" s="24">
        <v>9000</v>
      </c>
      <c r="R9" s="3">
        <f t="shared" si="0"/>
        <v>0</v>
      </c>
    </row>
    <row r="10" spans="1:18" x14ac:dyDescent="0.3">
      <c r="A10" s="3" t="s">
        <v>778</v>
      </c>
      <c r="B10" s="4" t="s">
        <v>2063</v>
      </c>
      <c r="C10" s="19" t="s">
        <v>2062</v>
      </c>
      <c r="D10" s="19" t="s">
        <v>2061</v>
      </c>
      <c r="E10" s="3" t="s">
        <v>3167</v>
      </c>
      <c r="F10" s="3"/>
      <c r="G10" s="3"/>
      <c r="H10" s="3" t="s">
        <v>3140</v>
      </c>
      <c r="I10" s="3" t="s">
        <v>2037</v>
      </c>
      <c r="J10" s="3">
        <v>1</v>
      </c>
      <c r="K10" s="3">
        <v>0</v>
      </c>
      <c r="L10" s="4">
        <v>22.5</v>
      </c>
      <c r="M10" s="3" t="s">
        <v>2042</v>
      </c>
      <c r="N10" s="3" t="s">
        <v>28</v>
      </c>
      <c r="O10" s="3">
        <v>0</v>
      </c>
      <c r="P10" s="3">
        <v>0</v>
      </c>
      <c r="Q10" s="24">
        <v>9000</v>
      </c>
      <c r="R10" s="3">
        <f t="shared" si="0"/>
        <v>0</v>
      </c>
    </row>
    <row r="11" spans="1:18" x14ac:dyDescent="0.3">
      <c r="A11" s="3" t="s">
        <v>778</v>
      </c>
      <c r="B11" s="4" t="s">
        <v>2066</v>
      </c>
      <c r="C11" s="19" t="s">
        <v>2065</v>
      </c>
      <c r="D11" s="19" t="s">
        <v>2064</v>
      </c>
      <c r="E11" s="3" t="s">
        <v>3167</v>
      </c>
      <c r="F11" s="3"/>
      <c r="G11" s="3"/>
      <c r="H11" s="3" t="s">
        <v>3140</v>
      </c>
      <c r="I11" s="3" t="s">
        <v>2037</v>
      </c>
      <c r="J11" s="3">
        <v>1</v>
      </c>
      <c r="K11" s="3">
        <v>0</v>
      </c>
      <c r="L11" s="4">
        <v>17.2</v>
      </c>
      <c r="M11" s="3" t="s">
        <v>2042</v>
      </c>
      <c r="N11" s="3" t="s">
        <v>28</v>
      </c>
      <c r="O11" s="3">
        <v>0</v>
      </c>
      <c r="P11" s="3">
        <v>0</v>
      </c>
      <c r="Q11" s="24">
        <v>9000</v>
      </c>
      <c r="R11" s="3">
        <f t="shared" si="0"/>
        <v>0</v>
      </c>
    </row>
    <row r="12" spans="1:18" x14ac:dyDescent="0.3">
      <c r="A12" s="3" t="s">
        <v>43</v>
      </c>
      <c r="B12" s="4" t="s">
        <v>2069</v>
      </c>
      <c r="C12" s="19" t="s">
        <v>2068</v>
      </c>
      <c r="D12" s="19" t="s">
        <v>2067</v>
      </c>
      <c r="E12" s="3" t="s">
        <v>33</v>
      </c>
      <c r="F12" s="3"/>
      <c r="G12" s="3"/>
      <c r="H12" s="3" t="s">
        <v>3135</v>
      </c>
      <c r="I12" s="3" t="s">
        <v>2070</v>
      </c>
      <c r="J12" s="3">
        <v>1</v>
      </c>
      <c r="K12" s="3">
        <v>15</v>
      </c>
      <c r="L12" s="4">
        <v>90</v>
      </c>
      <c r="M12" s="3" t="s">
        <v>2071</v>
      </c>
      <c r="N12" s="3" t="s">
        <v>30</v>
      </c>
      <c r="O12" s="3">
        <v>109.44</v>
      </c>
      <c r="P12" s="3" t="s">
        <v>2072</v>
      </c>
      <c r="Q12" s="24" t="str">
        <f>_xlfn.XLOOKUP(C12,[1]DailyCommercialOfferData!$A$2:$A$164,[1]DailyCommercialOfferData!$C$2:$C$164,0)</f>
        <v>108.19</v>
      </c>
      <c r="R12" s="3">
        <f t="shared" si="0"/>
        <v>109.44</v>
      </c>
    </row>
    <row r="13" spans="1:18" x14ac:dyDescent="0.3">
      <c r="A13" s="3" t="s">
        <v>43</v>
      </c>
      <c r="B13" s="4" t="s">
        <v>2075</v>
      </c>
      <c r="C13" s="19" t="s">
        <v>2074</v>
      </c>
      <c r="D13" s="19" t="s">
        <v>2073</v>
      </c>
      <c r="E13" s="3" t="s">
        <v>33</v>
      </c>
      <c r="F13" s="3"/>
      <c r="G13" s="3"/>
      <c r="H13" s="3" t="s">
        <v>3135</v>
      </c>
      <c r="I13" s="3" t="s">
        <v>2070</v>
      </c>
      <c r="J13" s="3">
        <v>1</v>
      </c>
      <c r="K13" s="3">
        <v>15</v>
      </c>
      <c r="L13" s="4">
        <v>90</v>
      </c>
      <c r="M13" s="3" t="s">
        <v>2071</v>
      </c>
      <c r="N13" s="3" t="s">
        <v>30</v>
      </c>
      <c r="O13" s="3">
        <v>109.45</v>
      </c>
      <c r="P13" s="3" t="s">
        <v>2072</v>
      </c>
      <c r="Q13" s="24" t="str">
        <f>_xlfn.XLOOKUP(C13,[1]DailyCommercialOfferData!$A$2:$A$164,[1]DailyCommercialOfferData!$C$2:$C$164,0)</f>
        <v>108.18</v>
      </c>
      <c r="R13" s="3">
        <f t="shared" si="0"/>
        <v>109.45</v>
      </c>
    </row>
    <row r="14" spans="1:18" x14ac:dyDescent="0.3">
      <c r="A14" s="3" t="s">
        <v>43</v>
      </c>
      <c r="B14" s="4" t="s">
        <v>2078</v>
      </c>
      <c r="C14" s="19" t="s">
        <v>2077</v>
      </c>
      <c r="D14" s="19" t="s">
        <v>2076</v>
      </c>
      <c r="E14" s="3" t="s">
        <v>33</v>
      </c>
      <c r="F14" s="3"/>
      <c r="G14" s="3"/>
      <c r="H14" s="3" t="s">
        <v>3135</v>
      </c>
      <c r="I14" s="3" t="s">
        <v>2070</v>
      </c>
      <c r="J14" s="3">
        <v>1</v>
      </c>
      <c r="K14" s="3">
        <v>15</v>
      </c>
      <c r="L14" s="4">
        <v>90</v>
      </c>
      <c r="M14" s="3" t="s">
        <v>2071</v>
      </c>
      <c r="N14" s="3" t="s">
        <v>30</v>
      </c>
      <c r="O14" s="3">
        <v>109.46</v>
      </c>
      <c r="P14" s="3" t="s">
        <v>2072</v>
      </c>
      <c r="Q14" s="24" t="str">
        <f>_xlfn.XLOOKUP(C14,[1]DailyCommercialOfferData!$A$2:$A$164,[1]DailyCommercialOfferData!$C$2:$C$164,0)</f>
        <v>108.17</v>
      </c>
      <c r="R14" s="3">
        <f t="shared" si="0"/>
        <v>109.46</v>
      </c>
    </row>
    <row r="15" spans="1:18" x14ac:dyDescent="0.3">
      <c r="A15" s="3" t="s">
        <v>43</v>
      </c>
      <c r="B15" s="4" t="s">
        <v>2081</v>
      </c>
      <c r="C15" s="19" t="s">
        <v>2080</v>
      </c>
      <c r="D15" s="19" t="s">
        <v>2079</v>
      </c>
      <c r="E15" s="3" t="s">
        <v>33</v>
      </c>
      <c r="F15" s="3"/>
      <c r="G15" s="3"/>
      <c r="H15" s="3" t="s">
        <v>3135</v>
      </c>
      <c r="I15" s="3" t="s">
        <v>2082</v>
      </c>
      <c r="J15" s="3">
        <v>1</v>
      </c>
      <c r="K15" s="3">
        <v>120</v>
      </c>
      <c r="L15" s="4">
        <v>449</v>
      </c>
      <c r="M15" s="3" t="s">
        <v>2071</v>
      </c>
      <c r="N15" s="3" t="s">
        <v>30</v>
      </c>
      <c r="O15" s="3">
        <v>40.97</v>
      </c>
      <c r="P15" s="3" t="s">
        <v>2083</v>
      </c>
      <c r="Q15" s="24" t="str">
        <f>_xlfn.XLOOKUP(C15,[1]DailyCommercialOfferData!$A$2:$A$164,[1]DailyCommercialOfferData!$C$2:$C$164,0)</f>
        <v>40.96</v>
      </c>
      <c r="R15" s="3">
        <f t="shared" si="0"/>
        <v>40.97</v>
      </c>
    </row>
    <row r="16" spans="1:18" x14ac:dyDescent="0.3">
      <c r="A16" s="3" t="s">
        <v>48</v>
      </c>
      <c r="B16" s="4" t="s">
        <v>2086</v>
      </c>
      <c r="C16" s="19" t="s">
        <v>2085</v>
      </c>
      <c r="D16" s="19" t="s">
        <v>2084</v>
      </c>
      <c r="E16" s="3" t="s">
        <v>3167</v>
      </c>
      <c r="F16" s="3"/>
      <c r="G16" s="3"/>
      <c r="H16" s="3" t="s">
        <v>3141</v>
      </c>
      <c r="I16" s="3" t="s">
        <v>2037</v>
      </c>
      <c r="J16" s="3">
        <v>1</v>
      </c>
      <c r="K16" s="3">
        <v>0</v>
      </c>
      <c r="L16" s="4">
        <v>15</v>
      </c>
      <c r="M16" s="3" t="s">
        <v>2042</v>
      </c>
      <c r="N16" s="3" t="s">
        <v>28</v>
      </c>
      <c r="O16" s="3">
        <v>0</v>
      </c>
      <c r="P16" s="3">
        <v>0</v>
      </c>
      <c r="Q16" s="24">
        <v>9000</v>
      </c>
      <c r="R16" s="3">
        <f t="shared" si="0"/>
        <v>0</v>
      </c>
    </row>
    <row r="17" spans="1:18" x14ac:dyDescent="0.3">
      <c r="A17" s="3" t="s">
        <v>48</v>
      </c>
      <c r="B17" s="4" t="s">
        <v>2089</v>
      </c>
      <c r="C17" s="19" t="s">
        <v>2088</v>
      </c>
      <c r="D17" s="19" t="s">
        <v>2087</v>
      </c>
      <c r="E17" s="3" t="s">
        <v>3167</v>
      </c>
      <c r="F17" s="3"/>
      <c r="G17" s="3"/>
      <c r="H17" s="3" t="s">
        <v>3141</v>
      </c>
      <c r="I17" s="3" t="s">
        <v>2037</v>
      </c>
      <c r="J17" s="3">
        <v>1</v>
      </c>
      <c r="K17" s="3">
        <v>0</v>
      </c>
      <c r="L17" s="4">
        <v>54</v>
      </c>
      <c r="M17" s="3" t="s">
        <v>2042</v>
      </c>
      <c r="N17" s="3" t="s">
        <v>28</v>
      </c>
      <c r="O17" s="3">
        <v>0</v>
      </c>
      <c r="P17" s="3">
        <v>0</v>
      </c>
      <c r="Q17" s="24">
        <v>9000</v>
      </c>
      <c r="R17" s="3">
        <f t="shared" si="0"/>
        <v>0</v>
      </c>
    </row>
    <row r="18" spans="1:18" x14ac:dyDescent="0.3">
      <c r="A18" s="3" t="s">
        <v>62</v>
      </c>
      <c r="B18" s="4" t="s">
        <v>2092</v>
      </c>
      <c r="C18" s="19" t="s">
        <v>2091</v>
      </c>
      <c r="D18" s="19" t="s">
        <v>2090</v>
      </c>
      <c r="E18" s="3" t="s">
        <v>3167</v>
      </c>
      <c r="F18" s="3"/>
      <c r="G18" s="3"/>
      <c r="H18" s="3" t="s">
        <v>3142</v>
      </c>
      <c r="I18" s="3" t="s">
        <v>2037</v>
      </c>
      <c r="J18" s="3">
        <v>1</v>
      </c>
      <c r="K18" s="3">
        <v>0</v>
      </c>
      <c r="L18" s="4">
        <v>5.4</v>
      </c>
      <c r="M18" s="3" t="s">
        <v>2042</v>
      </c>
      <c r="N18" s="3" t="s">
        <v>28</v>
      </c>
      <c r="O18" s="3">
        <v>0</v>
      </c>
      <c r="P18" s="3">
        <v>0</v>
      </c>
      <c r="Q18" s="24">
        <v>9000</v>
      </c>
      <c r="R18" s="3">
        <f t="shared" si="0"/>
        <v>0</v>
      </c>
    </row>
    <row r="19" spans="1:18" x14ac:dyDescent="0.3">
      <c r="A19" s="3" t="s">
        <v>36</v>
      </c>
      <c r="B19" s="4" t="s">
        <v>2095</v>
      </c>
      <c r="C19" s="19" t="s">
        <v>2094</v>
      </c>
      <c r="D19" s="19" t="s">
        <v>2093</v>
      </c>
      <c r="E19" s="3" t="s">
        <v>33</v>
      </c>
      <c r="F19" s="3"/>
      <c r="G19" s="3"/>
      <c r="H19" s="3" t="s">
        <v>3138</v>
      </c>
      <c r="I19" s="3" t="s">
        <v>2037</v>
      </c>
      <c r="J19" s="3">
        <v>1</v>
      </c>
      <c r="K19" s="3">
        <v>11.9</v>
      </c>
      <c r="L19" s="4">
        <v>21</v>
      </c>
      <c r="M19" s="3" t="s">
        <v>2096</v>
      </c>
      <c r="N19" s="3" t="s">
        <v>30</v>
      </c>
      <c r="O19" s="3">
        <v>80</v>
      </c>
      <c r="P19" s="3" t="s">
        <v>995</v>
      </c>
      <c r="Q19" s="24">
        <v>8000</v>
      </c>
      <c r="R19" s="3">
        <f t="shared" si="0"/>
        <v>80</v>
      </c>
    </row>
    <row r="20" spans="1:18" x14ac:dyDescent="0.3">
      <c r="A20" s="3" t="s">
        <v>36</v>
      </c>
      <c r="B20" s="4" t="s">
        <v>2099</v>
      </c>
      <c r="C20" s="19" t="s">
        <v>2098</v>
      </c>
      <c r="D20" s="19" t="s">
        <v>2097</v>
      </c>
      <c r="E20" s="3" t="s">
        <v>33</v>
      </c>
      <c r="F20" s="3"/>
      <c r="G20" s="3"/>
      <c r="H20" s="3" t="s">
        <v>3138</v>
      </c>
      <c r="I20" s="3" t="s">
        <v>2037</v>
      </c>
      <c r="J20" s="3">
        <v>1</v>
      </c>
      <c r="K20" s="3">
        <v>11.9</v>
      </c>
      <c r="L20" s="4">
        <v>22</v>
      </c>
      <c r="M20" s="3" t="s">
        <v>2096</v>
      </c>
      <c r="N20" s="3" t="s">
        <v>30</v>
      </c>
      <c r="O20" s="3">
        <v>80</v>
      </c>
      <c r="P20" s="3" t="s">
        <v>995</v>
      </c>
      <c r="Q20" s="24">
        <v>8000</v>
      </c>
      <c r="R20" s="3">
        <f t="shared" si="0"/>
        <v>80</v>
      </c>
    </row>
    <row r="21" spans="1:18" x14ac:dyDescent="0.3">
      <c r="A21" s="3" t="s">
        <v>36</v>
      </c>
      <c r="B21" s="4" t="s">
        <v>2102</v>
      </c>
      <c r="C21" s="19" t="s">
        <v>2101</v>
      </c>
      <c r="D21" s="19" t="s">
        <v>2100</v>
      </c>
      <c r="E21" s="3" t="s">
        <v>33</v>
      </c>
      <c r="F21" s="3"/>
      <c r="G21" s="3"/>
      <c r="H21" s="3" t="s">
        <v>3138</v>
      </c>
      <c r="I21" s="3" t="s">
        <v>2037</v>
      </c>
      <c r="J21" s="3">
        <v>1</v>
      </c>
      <c r="K21" s="3">
        <v>11.9</v>
      </c>
      <c r="L21" s="4">
        <v>19</v>
      </c>
      <c r="M21" s="3" t="s">
        <v>2096</v>
      </c>
      <c r="N21" s="3" t="s">
        <v>30</v>
      </c>
      <c r="O21" s="3">
        <v>0</v>
      </c>
      <c r="P21" s="3" t="s">
        <v>995</v>
      </c>
      <c r="Q21" s="24">
        <v>8000</v>
      </c>
      <c r="R21" s="3">
        <f t="shared" si="0"/>
        <v>0</v>
      </c>
    </row>
    <row r="22" spans="1:18" x14ac:dyDescent="0.3">
      <c r="A22" s="3" t="s">
        <v>36</v>
      </c>
      <c r="B22" s="4" t="s">
        <v>2105</v>
      </c>
      <c r="C22" s="19" t="s">
        <v>2104</v>
      </c>
      <c r="D22" s="19" t="s">
        <v>2103</v>
      </c>
      <c r="E22" s="3" t="s">
        <v>33</v>
      </c>
      <c r="F22" s="3"/>
      <c r="G22" s="3"/>
      <c r="H22" s="3" t="s">
        <v>3138</v>
      </c>
      <c r="I22" s="3" t="s">
        <v>2037</v>
      </c>
      <c r="J22" s="3">
        <v>1</v>
      </c>
      <c r="K22" s="3">
        <v>11.9</v>
      </c>
      <c r="L22" s="4">
        <v>24</v>
      </c>
      <c r="M22" s="3" t="s">
        <v>2096</v>
      </c>
      <c r="N22" s="3" t="s">
        <v>30</v>
      </c>
      <c r="O22" s="3">
        <v>80</v>
      </c>
      <c r="P22" s="3" t="s">
        <v>995</v>
      </c>
      <c r="Q22" s="24">
        <v>8000</v>
      </c>
      <c r="R22" s="3">
        <f t="shared" si="0"/>
        <v>80</v>
      </c>
    </row>
    <row r="23" spans="1:18" x14ac:dyDescent="0.3">
      <c r="A23" s="3" t="s">
        <v>72</v>
      </c>
      <c r="B23" s="4" t="s">
        <v>2108</v>
      </c>
      <c r="C23" s="19" t="s">
        <v>2107</v>
      </c>
      <c r="D23" s="19" t="s">
        <v>2106</v>
      </c>
      <c r="E23" s="3" t="s">
        <v>3167</v>
      </c>
      <c r="F23" s="3"/>
      <c r="G23" s="3"/>
      <c r="H23" s="3" t="s">
        <v>3135</v>
      </c>
      <c r="I23" s="3" t="s">
        <v>2037</v>
      </c>
      <c r="J23" s="3">
        <v>1</v>
      </c>
      <c r="K23" s="3">
        <v>0</v>
      </c>
      <c r="L23" s="4">
        <v>25.6</v>
      </c>
      <c r="M23" s="3" t="s">
        <v>2042</v>
      </c>
      <c r="N23" s="3" t="s">
        <v>28</v>
      </c>
      <c r="O23" s="3">
        <v>0</v>
      </c>
      <c r="P23" s="3">
        <v>0</v>
      </c>
      <c r="Q23" s="24">
        <v>9000</v>
      </c>
      <c r="R23" s="3">
        <f t="shared" si="0"/>
        <v>0</v>
      </c>
    </row>
    <row r="24" spans="1:18" x14ac:dyDescent="0.3">
      <c r="A24" s="3" t="s">
        <v>72</v>
      </c>
      <c r="B24" s="4" t="s">
        <v>2111</v>
      </c>
      <c r="C24" s="19" t="s">
        <v>2110</v>
      </c>
      <c r="D24" s="19" t="s">
        <v>2109</v>
      </c>
      <c r="E24" s="3" t="s">
        <v>3167</v>
      </c>
      <c r="F24" s="3"/>
      <c r="G24" s="3"/>
      <c r="H24" s="3" t="s">
        <v>3135</v>
      </c>
      <c r="I24" s="3" t="s">
        <v>2037</v>
      </c>
      <c r="J24" s="3">
        <v>1</v>
      </c>
      <c r="K24" s="3">
        <v>0</v>
      </c>
      <c r="L24" s="4">
        <v>35.200000000000003</v>
      </c>
      <c r="M24" s="3" t="s">
        <v>2042</v>
      </c>
      <c r="N24" s="3" t="s">
        <v>28</v>
      </c>
      <c r="O24" s="3">
        <v>0</v>
      </c>
      <c r="P24" s="3">
        <v>0</v>
      </c>
      <c r="Q24" s="24">
        <v>9000</v>
      </c>
      <c r="R24" s="3">
        <f t="shared" si="0"/>
        <v>0</v>
      </c>
    </row>
    <row r="25" spans="1:18" x14ac:dyDescent="0.3">
      <c r="A25" s="3" t="s">
        <v>72</v>
      </c>
      <c r="B25" s="4" t="s">
        <v>2114</v>
      </c>
      <c r="C25" s="19" t="s">
        <v>2113</v>
      </c>
      <c r="D25" s="19" t="s">
        <v>2112</v>
      </c>
      <c r="E25" s="3" t="s">
        <v>3167</v>
      </c>
      <c r="F25" s="3"/>
      <c r="G25" s="3"/>
      <c r="H25" s="3" t="s">
        <v>3135</v>
      </c>
      <c r="I25" s="3" t="s">
        <v>2037</v>
      </c>
      <c r="J25" s="3">
        <v>1</v>
      </c>
      <c r="K25" s="3">
        <v>0</v>
      </c>
      <c r="L25" s="4">
        <v>18</v>
      </c>
      <c r="M25" s="3" t="s">
        <v>2042</v>
      </c>
      <c r="N25" s="3" t="s">
        <v>28</v>
      </c>
      <c r="O25" s="3">
        <v>0</v>
      </c>
      <c r="P25" s="3">
        <v>0</v>
      </c>
      <c r="Q25" s="24">
        <v>9000</v>
      </c>
      <c r="R25" s="3">
        <f t="shared" si="0"/>
        <v>0</v>
      </c>
    </row>
    <row r="26" spans="1:18" x14ac:dyDescent="0.3">
      <c r="A26" s="3" t="s">
        <v>80</v>
      </c>
      <c r="B26" s="4" t="s">
        <v>2117</v>
      </c>
      <c r="C26" s="19" t="s">
        <v>2116</v>
      </c>
      <c r="D26" s="19" t="s">
        <v>2115</v>
      </c>
      <c r="E26" s="3" t="s">
        <v>3167</v>
      </c>
      <c r="F26" s="3"/>
      <c r="G26" s="3"/>
      <c r="H26" s="3" t="s">
        <v>3143</v>
      </c>
      <c r="I26" s="3" t="s">
        <v>2037</v>
      </c>
      <c r="J26" s="3">
        <v>1</v>
      </c>
      <c r="K26" s="3">
        <v>0</v>
      </c>
      <c r="L26" s="4">
        <v>34.35</v>
      </c>
      <c r="M26" s="3" t="s">
        <v>2042</v>
      </c>
      <c r="N26" s="3" t="s">
        <v>28</v>
      </c>
      <c r="O26" s="3">
        <v>0</v>
      </c>
      <c r="P26" s="3">
        <v>0</v>
      </c>
      <c r="Q26" s="24">
        <v>9000</v>
      </c>
      <c r="R26" s="3">
        <f t="shared" si="0"/>
        <v>0</v>
      </c>
    </row>
    <row r="27" spans="1:18" x14ac:dyDescent="0.3">
      <c r="A27" s="3" t="s">
        <v>80</v>
      </c>
      <c r="B27" s="4" t="s">
        <v>2120</v>
      </c>
      <c r="C27" s="19" t="s">
        <v>2119</v>
      </c>
      <c r="D27" s="19" t="s">
        <v>2118</v>
      </c>
      <c r="E27" s="3" t="s">
        <v>3167</v>
      </c>
      <c r="F27" s="3"/>
      <c r="G27" s="3"/>
      <c r="H27" s="3" t="s">
        <v>3143</v>
      </c>
      <c r="I27" s="3" t="s">
        <v>2037</v>
      </c>
      <c r="J27" s="3">
        <v>1</v>
      </c>
      <c r="K27" s="3">
        <v>0</v>
      </c>
      <c r="L27" s="4">
        <v>24</v>
      </c>
      <c r="M27" s="3" t="s">
        <v>2042</v>
      </c>
      <c r="N27" s="3" t="s">
        <v>28</v>
      </c>
      <c r="O27" s="3">
        <v>0</v>
      </c>
      <c r="P27" s="3">
        <v>0</v>
      </c>
      <c r="Q27" s="24">
        <v>9000</v>
      </c>
      <c r="R27" s="3">
        <f t="shared" si="0"/>
        <v>0</v>
      </c>
    </row>
    <row r="28" spans="1:18" x14ac:dyDescent="0.3">
      <c r="A28" s="3" t="s">
        <v>88</v>
      </c>
      <c r="B28" s="4" t="s">
        <v>2123</v>
      </c>
      <c r="C28" s="19" t="s">
        <v>2122</v>
      </c>
      <c r="D28" s="19" t="s">
        <v>2121</v>
      </c>
      <c r="E28" s="3" t="s">
        <v>33</v>
      </c>
      <c r="F28" s="3"/>
      <c r="G28" s="3"/>
      <c r="H28" s="3" t="s">
        <v>3135</v>
      </c>
      <c r="I28" s="3" t="s">
        <v>2037</v>
      </c>
      <c r="J28" s="3">
        <v>1</v>
      </c>
      <c r="K28" s="3">
        <v>40</v>
      </c>
      <c r="L28" s="4">
        <v>83</v>
      </c>
      <c r="M28" s="3" t="s">
        <v>2071</v>
      </c>
      <c r="N28" s="3" t="s">
        <v>30</v>
      </c>
      <c r="O28" s="3">
        <v>74.290000000000006</v>
      </c>
      <c r="P28" s="3" t="s">
        <v>2124</v>
      </c>
      <c r="Q28" s="26">
        <v>0</v>
      </c>
      <c r="R28" s="3">
        <f t="shared" si="0"/>
        <v>74.290000000000006</v>
      </c>
    </row>
    <row r="29" spans="1:18" x14ac:dyDescent="0.3">
      <c r="A29" s="3" t="s">
        <v>88</v>
      </c>
      <c r="B29" s="4" t="s">
        <v>2127</v>
      </c>
      <c r="C29" s="19" t="s">
        <v>2126</v>
      </c>
      <c r="D29" s="19" t="s">
        <v>2125</v>
      </c>
      <c r="E29" s="3" t="s">
        <v>33</v>
      </c>
      <c r="F29" s="3"/>
      <c r="G29" s="3"/>
      <c r="H29" s="3" t="s">
        <v>3135</v>
      </c>
      <c r="I29" s="3" t="s">
        <v>2037</v>
      </c>
      <c r="J29" s="3">
        <v>1</v>
      </c>
      <c r="K29" s="3">
        <v>40</v>
      </c>
      <c r="L29" s="4">
        <v>83</v>
      </c>
      <c r="M29" s="3" t="s">
        <v>2071</v>
      </c>
      <c r="N29" s="3" t="s">
        <v>30</v>
      </c>
      <c r="O29" s="3">
        <v>74.290000000000006</v>
      </c>
      <c r="P29" s="3" t="s">
        <v>2124</v>
      </c>
      <c r="Q29" s="26">
        <v>0</v>
      </c>
      <c r="R29" s="3">
        <f t="shared" si="0"/>
        <v>74.290000000000006</v>
      </c>
    </row>
    <row r="30" spans="1:18" x14ac:dyDescent="0.3">
      <c r="A30" s="3" t="s">
        <v>151</v>
      </c>
      <c r="B30" s="4" t="s">
        <v>2130</v>
      </c>
      <c r="C30" s="19" t="s">
        <v>2129</v>
      </c>
      <c r="D30" s="19" t="s">
        <v>2128</v>
      </c>
      <c r="E30" s="3" t="s">
        <v>33</v>
      </c>
      <c r="F30" s="3"/>
      <c r="G30" s="3"/>
      <c r="H30" s="3" t="s">
        <v>3142</v>
      </c>
      <c r="I30" s="3" t="s">
        <v>2131</v>
      </c>
      <c r="J30" s="3">
        <v>1</v>
      </c>
      <c r="K30" s="3">
        <v>8</v>
      </c>
      <c r="L30" s="4">
        <v>58</v>
      </c>
      <c r="M30" s="3" t="s">
        <v>2132</v>
      </c>
      <c r="N30" s="3" t="s">
        <v>30</v>
      </c>
      <c r="O30" s="3">
        <v>251.99</v>
      </c>
      <c r="P30" s="3" t="s">
        <v>2133</v>
      </c>
      <c r="Q30" s="24" t="str">
        <f>_xlfn.XLOOKUP(C30,[1]DailyCommercialOfferData!$A$2:$A$164,[1]DailyCommercialOfferData!$C$2:$C$164,0)</f>
        <v>246.74</v>
      </c>
      <c r="R30" s="3">
        <f t="shared" si="0"/>
        <v>251.99</v>
      </c>
    </row>
    <row r="31" spans="1:18" x14ac:dyDescent="0.3">
      <c r="A31" s="3" t="s">
        <v>151</v>
      </c>
      <c r="B31" s="4" t="s">
        <v>2136</v>
      </c>
      <c r="C31" s="19" t="s">
        <v>2135</v>
      </c>
      <c r="D31" s="19" t="s">
        <v>2134</v>
      </c>
      <c r="E31" s="3" t="s">
        <v>33</v>
      </c>
      <c r="F31" s="3"/>
      <c r="G31" s="3"/>
      <c r="H31" s="3" t="s">
        <v>3142</v>
      </c>
      <c r="I31" s="3" t="s">
        <v>2131</v>
      </c>
      <c r="J31" s="3">
        <v>1</v>
      </c>
      <c r="K31" s="3">
        <v>8</v>
      </c>
      <c r="L31" s="4">
        <v>58</v>
      </c>
      <c r="M31" s="3" t="s">
        <v>2132</v>
      </c>
      <c r="N31" s="3" t="s">
        <v>30</v>
      </c>
      <c r="O31" s="3">
        <v>251.99</v>
      </c>
      <c r="P31" s="3" t="s">
        <v>2137</v>
      </c>
      <c r="Q31" s="24" t="str">
        <f>_xlfn.XLOOKUP(C31,[1]DailyCommercialOfferData!$A$2:$A$164,[1]DailyCommercialOfferData!$C$2:$C$164,0)</f>
        <v>246.74</v>
      </c>
      <c r="R31" s="3">
        <f t="shared" si="0"/>
        <v>251.99</v>
      </c>
    </row>
    <row r="32" spans="1:18" x14ac:dyDescent="0.3">
      <c r="A32" s="3" t="s">
        <v>151</v>
      </c>
      <c r="B32" s="4" t="s">
        <v>2140</v>
      </c>
      <c r="C32" s="19" t="s">
        <v>2139</v>
      </c>
      <c r="D32" s="19" t="s">
        <v>2138</v>
      </c>
      <c r="E32" s="3" t="s">
        <v>33</v>
      </c>
      <c r="F32" s="3"/>
      <c r="G32" s="3"/>
      <c r="H32" s="3" t="s">
        <v>3142</v>
      </c>
      <c r="I32" s="3" t="s">
        <v>2141</v>
      </c>
      <c r="J32" s="3">
        <v>1</v>
      </c>
      <c r="K32" s="3">
        <v>63</v>
      </c>
      <c r="L32" s="4">
        <v>101</v>
      </c>
      <c r="M32" s="3" t="s">
        <v>2142</v>
      </c>
      <c r="N32" s="3" t="s">
        <v>30</v>
      </c>
      <c r="O32" s="3">
        <v>85.59</v>
      </c>
      <c r="P32" s="3" t="s">
        <v>2143</v>
      </c>
      <c r="Q32" s="24" t="str">
        <f>_xlfn.XLOOKUP(C32,[1]DailyCommercialOfferData!$A$2:$A$164,[1]DailyCommercialOfferData!$C$2:$C$164,0)</f>
        <v>79.19</v>
      </c>
      <c r="R32" s="3">
        <f t="shared" si="0"/>
        <v>85.59</v>
      </c>
    </row>
    <row r="33" spans="1:18" x14ac:dyDescent="0.3">
      <c r="A33" s="3" t="s">
        <v>153</v>
      </c>
      <c r="B33" s="4" t="s">
        <v>2146</v>
      </c>
      <c r="C33" s="19" t="s">
        <v>2145</v>
      </c>
      <c r="D33" s="19" t="s">
        <v>2144</v>
      </c>
      <c r="E33" s="3" t="s">
        <v>33</v>
      </c>
      <c r="F33" s="3"/>
      <c r="G33" s="3"/>
      <c r="H33" s="3" t="s">
        <v>3142</v>
      </c>
      <c r="I33" s="3" t="s">
        <v>2141</v>
      </c>
      <c r="J33" s="3">
        <v>1</v>
      </c>
      <c r="K33" s="3">
        <v>113</v>
      </c>
      <c r="L33" s="4">
        <v>247</v>
      </c>
      <c r="M33" s="3" t="s">
        <v>2071</v>
      </c>
      <c r="N33" s="3" t="s">
        <v>30</v>
      </c>
      <c r="O33" s="3">
        <v>81.77</v>
      </c>
      <c r="P33" s="3" t="s">
        <v>2147</v>
      </c>
      <c r="Q33" s="24" t="str">
        <f>_xlfn.XLOOKUP(C33,[1]DailyCommercialOfferData!$A$2:$A$164,[1]DailyCommercialOfferData!$C$2:$C$164,0)</f>
        <v>75.91</v>
      </c>
      <c r="R33" s="3">
        <f t="shared" si="0"/>
        <v>81.77</v>
      </c>
    </row>
    <row r="34" spans="1:18" x14ac:dyDescent="0.3">
      <c r="A34" s="3" t="s">
        <v>153</v>
      </c>
      <c r="B34" s="4" t="s">
        <v>2150</v>
      </c>
      <c r="C34" s="19" t="s">
        <v>2149</v>
      </c>
      <c r="D34" s="19" t="s">
        <v>2148</v>
      </c>
      <c r="E34" s="3" t="s">
        <v>33</v>
      </c>
      <c r="F34" s="3"/>
      <c r="G34" s="3"/>
      <c r="H34" s="3" t="s">
        <v>3142</v>
      </c>
      <c r="I34" s="3" t="s">
        <v>2141</v>
      </c>
      <c r="J34" s="3">
        <v>1</v>
      </c>
      <c r="K34" s="3">
        <v>113</v>
      </c>
      <c r="L34" s="4">
        <v>247</v>
      </c>
      <c r="M34" s="3" t="s">
        <v>2071</v>
      </c>
      <c r="N34" s="3" t="s">
        <v>30</v>
      </c>
      <c r="O34" s="3">
        <v>81.77</v>
      </c>
      <c r="P34" s="3" t="s">
        <v>2147</v>
      </c>
      <c r="Q34" s="24" t="str">
        <f>_xlfn.XLOOKUP(C34,[1]DailyCommercialOfferData!$A$2:$A$164,[1]DailyCommercialOfferData!$C$2:$C$164,0)</f>
        <v>75.91</v>
      </c>
      <c r="R34" s="3">
        <f t="shared" si="0"/>
        <v>81.77</v>
      </c>
    </row>
    <row r="35" spans="1:18" x14ac:dyDescent="0.3">
      <c r="A35" s="3" t="s">
        <v>177</v>
      </c>
      <c r="B35" s="4" t="s">
        <v>2153</v>
      </c>
      <c r="C35" s="19" t="s">
        <v>2152</v>
      </c>
      <c r="D35" s="19" t="s">
        <v>2151</v>
      </c>
      <c r="E35" s="3" t="s">
        <v>3167</v>
      </c>
      <c r="F35" s="3"/>
      <c r="G35" s="3"/>
      <c r="H35" s="3" t="s">
        <v>3142</v>
      </c>
      <c r="I35" s="3" t="s">
        <v>2037</v>
      </c>
      <c r="J35" s="3">
        <v>1</v>
      </c>
      <c r="K35" s="12">
        <v>-441</v>
      </c>
      <c r="L35" s="11">
        <v>410</v>
      </c>
      <c r="M35" s="12" t="s">
        <v>2038</v>
      </c>
      <c r="N35" s="3" t="s">
        <v>28</v>
      </c>
      <c r="O35" s="3">
        <v>70</v>
      </c>
      <c r="P35" s="3">
        <v>0</v>
      </c>
      <c r="Q35" s="24">
        <v>10000</v>
      </c>
      <c r="R35" s="3">
        <f t="shared" si="0"/>
        <v>70</v>
      </c>
    </row>
    <row r="36" spans="1:18" x14ac:dyDescent="0.3">
      <c r="A36" s="3" t="s">
        <v>175</v>
      </c>
      <c r="B36" s="4" t="s">
        <v>2156</v>
      </c>
      <c r="C36" s="19" t="s">
        <v>2155</v>
      </c>
      <c r="D36" s="19" t="s">
        <v>2154</v>
      </c>
      <c r="E36" s="3" t="s">
        <v>3167</v>
      </c>
      <c r="F36" s="3"/>
      <c r="G36" s="3"/>
      <c r="H36" s="3" t="s">
        <v>3135</v>
      </c>
      <c r="I36" s="3" t="s">
        <v>2037</v>
      </c>
      <c r="J36" s="3">
        <v>1</v>
      </c>
      <c r="K36" s="3">
        <v>0</v>
      </c>
      <c r="L36" s="4">
        <v>42</v>
      </c>
      <c r="M36" s="3" t="s">
        <v>2042</v>
      </c>
      <c r="N36" s="3" t="s">
        <v>28</v>
      </c>
      <c r="O36" s="3">
        <v>0</v>
      </c>
      <c r="P36" s="3">
        <v>0</v>
      </c>
      <c r="Q36" s="24">
        <v>9000</v>
      </c>
      <c r="R36" s="3">
        <f t="shared" si="0"/>
        <v>0</v>
      </c>
    </row>
    <row r="37" spans="1:18" x14ac:dyDescent="0.3">
      <c r="A37" s="3" t="s">
        <v>90</v>
      </c>
      <c r="B37" s="4" t="s">
        <v>2159</v>
      </c>
      <c r="C37" s="19" t="s">
        <v>2158</v>
      </c>
      <c r="D37" s="19" t="s">
        <v>2157</v>
      </c>
      <c r="E37" s="3" t="s">
        <v>3167</v>
      </c>
      <c r="F37" s="3"/>
      <c r="G37" s="3"/>
      <c r="H37" s="3" t="s">
        <v>3135</v>
      </c>
      <c r="I37" s="3" t="s">
        <v>2037</v>
      </c>
      <c r="J37" s="3">
        <v>1</v>
      </c>
      <c r="K37" s="3">
        <v>0</v>
      </c>
      <c r="L37" s="4">
        <v>10</v>
      </c>
      <c r="M37" s="3" t="s">
        <v>2160</v>
      </c>
      <c r="N37" s="3" t="s">
        <v>28</v>
      </c>
      <c r="O37" s="3">
        <v>0</v>
      </c>
      <c r="P37" s="3">
        <v>0</v>
      </c>
      <c r="Q37" s="24">
        <v>9000</v>
      </c>
      <c r="R37" s="3">
        <f t="shared" si="0"/>
        <v>0</v>
      </c>
    </row>
    <row r="38" spans="1:18" x14ac:dyDescent="0.3">
      <c r="A38" s="3" t="s">
        <v>135</v>
      </c>
      <c r="B38" s="4" t="s">
        <v>2163</v>
      </c>
      <c r="C38" s="19" t="s">
        <v>2162</v>
      </c>
      <c r="D38" s="19" t="s">
        <v>2161</v>
      </c>
      <c r="E38" s="3" t="s">
        <v>3167</v>
      </c>
      <c r="F38" s="3"/>
      <c r="G38" s="3"/>
      <c r="H38" s="3" t="s">
        <v>3142</v>
      </c>
      <c r="I38" s="3" t="s">
        <v>2037</v>
      </c>
      <c r="J38" s="3">
        <v>1</v>
      </c>
      <c r="K38" s="3">
        <v>0</v>
      </c>
      <c r="L38" s="4">
        <v>21.15</v>
      </c>
      <c r="M38" s="3" t="s">
        <v>2042</v>
      </c>
      <c r="N38" s="3" t="s">
        <v>28</v>
      </c>
      <c r="O38" s="3">
        <v>0</v>
      </c>
      <c r="P38" s="3">
        <v>0</v>
      </c>
      <c r="Q38" s="24">
        <v>9000</v>
      </c>
      <c r="R38" s="3">
        <f t="shared" si="0"/>
        <v>0</v>
      </c>
    </row>
    <row r="39" spans="1:18" x14ac:dyDescent="0.3">
      <c r="A39" s="3" t="s">
        <v>135</v>
      </c>
      <c r="B39" s="4" t="s">
        <v>2166</v>
      </c>
      <c r="C39" s="19" t="s">
        <v>2165</v>
      </c>
      <c r="D39" s="19" t="s">
        <v>2164</v>
      </c>
      <c r="E39" s="3" t="s">
        <v>3167</v>
      </c>
      <c r="F39" s="3"/>
      <c r="G39" s="3"/>
      <c r="H39" s="3" t="s">
        <v>3142</v>
      </c>
      <c r="I39" s="3" t="s">
        <v>2037</v>
      </c>
      <c r="J39" s="3">
        <v>1</v>
      </c>
      <c r="K39" s="3">
        <v>0</v>
      </c>
      <c r="L39" s="4">
        <v>23</v>
      </c>
      <c r="M39" s="3" t="s">
        <v>2042</v>
      </c>
      <c r="N39" s="3" t="s">
        <v>28</v>
      </c>
      <c r="O39" s="3">
        <v>0</v>
      </c>
      <c r="P39" s="3">
        <v>0</v>
      </c>
      <c r="Q39" s="24">
        <v>9000</v>
      </c>
      <c r="R39" s="3">
        <f t="shared" si="0"/>
        <v>0</v>
      </c>
    </row>
    <row r="40" spans="1:18" x14ac:dyDescent="0.3">
      <c r="A40" s="3" t="s">
        <v>94</v>
      </c>
      <c r="B40" s="4" t="s">
        <v>2169</v>
      </c>
      <c r="C40" s="19" t="s">
        <v>2168</v>
      </c>
      <c r="D40" s="19" t="s">
        <v>2167</v>
      </c>
      <c r="E40" s="3" t="s">
        <v>33</v>
      </c>
      <c r="F40" s="3"/>
      <c r="G40" s="3"/>
      <c r="H40" s="3" t="s">
        <v>3142</v>
      </c>
      <c r="I40" s="3" t="s">
        <v>2037</v>
      </c>
      <c r="J40" s="23">
        <v>0</v>
      </c>
      <c r="K40" s="3">
        <v>0</v>
      </c>
      <c r="L40" s="4">
        <v>12.224</v>
      </c>
      <c r="M40" s="3" t="s">
        <v>2071</v>
      </c>
      <c r="N40" s="3" t="s">
        <v>30</v>
      </c>
      <c r="O40" s="3">
        <v>500</v>
      </c>
      <c r="P40" s="3" t="s">
        <v>995</v>
      </c>
      <c r="Q40" s="24" t="str">
        <f>_xlfn.XLOOKUP(C40,[1]DailyCommercialOfferData!$A$2:$A$164,[1]DailyCommercialOfferData!$C$2:$C$164,0)</f>
        <v>0</v>
      </c>
      <c r="R40" s="3">
        <f t="shared" si="0"/>
        <v>500</v>
      </c>
    </row>
    <row r="41" spans="1:18" x14ac:dyDescent="0.3">
      <c r="A41" s="3" t="s">
        <v>98</v>
      </c>
      <c r="B41" s="4" t="s">
        <v>2172</v>
      </c>
      <c r="C41" s="19" t="s">
        <v>2171</v>
      </c>
      <c r="D41" s="19" t="s">
        <v>2170</v>
      </c>
      <c r="E41" s="3" t="s">
        <v>3167</v>
      </c>
      <c r="F41" s="3"/>
      <c r="G41" s="3"/>
      <c r="H41" s="3" t="s">
        <v>3140</v>
      </c>
      <c r="I41" s="3" t="s">
        <v>2037</v>
      </c>
      <c r="J41" s="3">
        <v>1</v>
      </c>
      <c r="K41" s="3">
        <v>0</v>
      </c>
      <c r="L41" s="4">
        <v>32.4</v>
      </c>
      <c r="M41" s="3" t="s">
        <v>2042</v>
      </c>
      <c r="N41" s="3" t="s">
        <v>28</v>
      </c>
      <c r="O41" s="3">
        <v>0</v>
      </c>
      <c r="P41" s="3">
        <v>0</v>
      </c>
      <c r="Q41" s="24">
        <v>9000</v>
      </c>
      <c r="R41" s="3">
        <f t="shared" si="0"/>
        <v>0</v>
      </c>
    </row>
    <row r="42" spans="1:18" x14ac:dyDescent="0.3">
      <c r="A42" s="3" t="s">
        <v>116</v>
      </c>
      <c r="B42" s="4" t="s">
        <v>2175</v>
      </c>
      <c r="C42" s="19" t="s">
        <v>2174</v>
      </c>
      <c r="D42" s="19" t="s">
        <v>2173</v>
      </c>
      <c r="E42" s="3" t="s">
        <v>3167</v>
      </c>
      <c r="F42" s="3"/>
      <c r="G42" s="3"/>
      <c r="H42" s="3" t="s">
        <v>3135</v>
      </c>
      <c r="I42" s="3" t="s">
        <v>2037</v>
      </c>
      <c r="J42" s="3">
        <v>1</v>
      </c>
      <c r="K42" s="3">
        <v>0</v>
      </c>
      <c r="L42" s="4">
        <v>16.8</v>
      </c>
      <c r="M42" s="3" t="s">
        <v>2042</v>
      </c>
      <c r="N42" s="3" t="s">
        <v>28</v>
      </c>
      <c r="O42" s="3">
        <v>0</v>
      </c>
      <c r="P42" s="3">
        <v>0</v>
      </c>
      <c r="Q42" s="24">
        <v>9000</v>
      </c>
      <c r="R42" s="3">
        <f t="shared" si="0"/>
        <v>0</v>
      </c>
    </row>
    <row r="43" spans="1:18" x14ac:dyDescent="0.3">
      <c r="A43" s="3" t="s">
        <v>114</v>
      </c>
      <c r="B43" s="4" t="s">
        <v>2178</v>
      </c>
      <c r="C43" s="19" t="s">
        <v>2177</v>
      </c>
      <c r="D43" s="19" t="s">
        <v>2176</v>
      </c>
      <c r="E43" s="3" t="s">
        <v>33</v>
      </c>
      <c r="F43" s="3"/>
      <c r="G43" s="3"/>
      <c r="H43" s="3" t="s">
        <v>3144</v>
      </c>
      <c r="I43" s="3" t="s">
        <v>2037</v>
      </c>
      <c r="J43" s="3">
        <v>1</v>
      </c>
      <c r="K43" s="3">
        <v>0</v>
      </c>
      <c r="L43" s="4">
        <v>4.3</v>
      </c>
      <c r="M43" s="3" t="s">
        <v>2096</v>
      </c>
      <c r="N43" s="3" t="s">
        <v>30</v>
      </c>
      <c r="O43" s="3">
        <v>0</v>
      </c>
      <c r="P43" s="3">
        <v>0</v>
      </c>
      <c r="Q43" s="24">
        <v>8000</v>
      </c>
      <c r="R43" s="3">
        <f t="shared" si="0"/>
        <v>0</v>
      </c>
    </row>
    <row r="44" spans="1:18" x14ac:dyDescent="0.3">
      <c r="A44" s="3" t="s">
        <v>114</v>
      </c>
      <c r="B44" s="4" t="s">
        <v>2181</v>
      </c>
      <c r="C44" s="19" t="s">
        <v>2180</v>
      </c>
      <c r="D44" s="19" t="s">
        <v>2179</v>
      </c>
      <c r="E44" s="3" t="s">
        <v>3167</v>
      </c>
      <c r="F44" s="3"/>
      <c r="G44" s="3"/>
      <c r="H44" s="3" t="s">
        <v>3144</v>
      </c>
      <c r="I44" s="3" t="s">
        <v>2037</v>
      </c>
      <c r="J44" s="3">
        <v>1</v>
      </c>
      <c r="K44" s="3">
        <v>0</v>
      </c>
      <c r="L44" s="4">
        <v>11.9</v>
      </c>
      <c r="M44" s="3" t="s">
        <v>2042</v>
      </c>
      <c r="N44" s="3" t="s">
        <v>28</v>
      </c>
      <c r="O44" s="3">
        <v>0</v>
      </c>
      <c r="P44" s="3">
        <v>0</v>
      </c>
      <c r="Q44" s="24">
        <v>9000</v>
      </c>
      <c r="R44" s="3">
        <f t="shared" si="0"/>
        <v>0</v>
      </c>
    </row>
    <row r="45" spans="1:18" x14ac:dyDescent="0.3">
      <c r="A45" s="3" t="s">
        <v>114</v>
      </c>
      <c r="B45" s="4" t="s">
        <v>2184</v>
      </c>
      <c r="C45" s="19" t="s">
        <v>2183</v>
      </c>
      <c r="D45" s="19" t="s">
        <v>2182</v>
      </c>
      <c r="E45" s="3" t="s">
        <v>3167</v>
      </c>
      <c r="F45" s="3"/>
      <c r="G45" s="3"/>
      <c r="H45" s="3" t="s">
        <v>3144</v>
      </c>
      <c r="I45" s="3" t="s">
        <v>2037</v>
      </c>
      <c r="J45" s="3">
        <v>1</v>
      </c>
      <c r="K45" s="3">
        <v>0</v>
      </c>
      <c r="L45" s="4">
        <v>10.8</v>
      </c>
      <c r="M45" s="3" t="s">
        <v>2042</v>
      </c>
      <c r="N45" s="3" t="s">
        <v>28</v>
      </c>
      <c r="O45" s="3">
        <v>0</v>
      </c>
      <c r="P45" s="3">
        <v>0</v>
      </c>
      <c r="Q45" s="24">
        <v>9000</v>
      </c>
      <c r="R45" s="3">
        <f t="shared" si="0"/>
        <v>0</v>
      </c>
    </row>
    <row r="46" spans="1:18" x14ac:dyDescent="0.3">
      <c r="A46" s="3" t="s">
        <v>133</v>
      </c>
      <c r="B46" s="4" t="s">
        <v>2187</v>
      </c>
      <c r="C46" s="19" t="s">
        <v>2186</v>
      </c>
      <c r="D46" s="19" t="s">
        <v>2185</v>
      </c>
      <c r="E46" s="3" t="s">
        <v>3167</v>
      </c>
      <c r="F46" s="3"/>
      <c r="G46" s="3"/>
      <c r="H46" s="3" t="s">
        <v>3135</v>
      </c>
      <c r="I46" s="3" t="s">
        <v>2037</v>
      </c>
      <c r="J46" s="3">
        <v>1</v>
      </c>
      <c r="K46" s="3">
        <v>0</v>
      </c>
      <c r="L46" s="4">
        <v>60</v>
      </c>
      <c r="M46" s="3" t="s">
        <v>2160</v>
      </c>
      <c r="N46" s="3" t="s">
        <v>28</v>
      </c>
      <c r="O46" s="3">
        <v>0</v>
      </c>
      <c r="P46" s="3">
        <v>0</v>
      </c>
      <c r="Q46" s="24">
        <v>9000</v>
      </c>
      <c r="R46" s="3">
        <f t="shared" si="0"/>
        <v>0</v>
      </c>
    </row>
    <row r="47" spans="1:18" x14ac:dyDescent="0.3">
      <c r="A47" s="3" t="s">
        <v>110</v>
      </c>
      <c r="B47" s="4" t="s">
        <v>2190</v>
      </c>
      <c r="C47" s="19" t="s">
        <v>2189</v>
      </c>
      <c r="D47" s="19" t="s">
        <v>2188</v>
      </c>
      <c r="E47" s="3" t="s">
        <v>3167</v>
      </c>
      <c r="F47" s="3"/>
      <c r="G47" s="3"/>
      <c r="H47" s="3" t="s">
        <v>3140</v>
      </c>
      <c r="I47" s="3" t="s">
        <v>2037</v>
      </c>
      <c r="J47" s="3">
        <v>1</v>
      </c>
      <c r="K47" s="3">
        <v>0</v>
      </c>
      <c r="L47" s="4">
        <v>57</v>
      </c>
      <c r="M47" s="3" t="s">
        <v>2042</v>
      </c>
      <c r="N47" s="3" t="s">
        <v>28</v>
      </c>
      <c r="O47" s="3">
        <v>0</v>
      </c>
      <c r="P47" s="3">
        <v>0</v>
      </c>
      <c r="Q47" s="24">
        <v>9000</v>
      </c>
      <c r="R47" s="3">
        <f t="shared" si="0"/>
        <v>0</v>
      </c>
    </row>
    <row r="48" spans="1:18" x14ac:dyDescent="0.3">
      <c r="A48" s="3" t="s">
        <v>110</v>
      </c>
      <c r="B48" s="4" t="s">
        <v>2193</v>
      </c>
      <c r="C48" s="19" t="s">
        <v>2192</v>
      </c>
      <c r="D48" s="19" t="s">
        <v>2191</v>
      </c>
      <c r="E48" s="3" t="s">
        <v>3167</v>
      </c>
      <c r="F48" s="3"/>
      <c r="G48" s="3"/>
      <c r="H48" s="3" t="s">
        <v>3140</v>
      </c>
      <c r="I48" s="3" t="s">
        <v>2037</v>
      </c>
      <c r="J48" s="3">
        <v>1</v>
      </c>
      <c r="K48" s="3">
        <v>0</v>
      </c>
      <c r="L48" s="4">
        <v>65.7</v>
      </c>
      <c r="M48" s="3" t="s">
        <v>2042</v>
      </c>
      <c r="N48" s="3" t="s">
        <v>28</v>
      </c>
      <c r="O48" s="3">
        <v>0</v>
      </c>
      <c r="P48" s="3">
        <v>0</v>
      </c>
      <c r="Q48" s="24">
        <v>9000</v>
      </c>
      <c r="R48" s="3">
        <f t="shared" si="0"/>
        <v>0</v>
      </c>
    </row>
    <row r="49" spans="1:18" x14ac:dyDescent="0.3">
      <c r="A49" s="3" t="s">
        <v>110</v>
      </c>
      <c r="B49" s="4" t="s">
        <v>2196</v>
      </c>
      <c r="C49" s="19" t="s">
        <v>2195</v>
      </c>
      <c r="D49" s="19" t="s">
        <v>2194</v>
      </c>
      <c r="E49" s="3" t="s">
        <v>3167</v>
      </c>
      <c r="F49" s="3"/>
      <c r="G49" s="3"/>
      <c r="H49" s="3" t="s">
        <v>3140</v>
      </c>
      <c r="I49" s="3" t="s">
        <v>2037</v>
      </c>
      <c r="J49" s="3">
        <v>1</v>
      </c>
      <c r="K49" s="3">
        <v>0</v>
      </c>
      <c r="L49" s="4">
        <v>23.2</v>
      </c>
      <c r="M49" s="3" t="s">
        <v>2042</v>
      </c>
      <c r="N49" s="3" t="s">
        <v>28</v>
      </c>
      <c r="O49" s="3">
        <v>0</v>
      </c>
      <c r="P49" s="3">
        <v>0</v>
      </c>
      <c r="Q49" s="24">
        <v>9000</v>
      </c>
      <c r="R49" s="3">
        <f t="shared" si="0"/>
        <v>0</v>
      </c>
    </row>
    <row r="50" spans="1:18" x14ac:dyDescent="0.3">
      <c r="A50" s="3" t="s">
        <v>110</v>
      </c>
      <c r="B50" s="4" t="s">
        <v>2199</v>
      </c>
      <c r="C50" s="19" t="s">
        <v>2198</v>
      </c>
      <c r="D50" s="19" t="s">
        <v>2197</v>
      </c>
      <c r="E50" s="3" t="s">
        <v>3167</v>
      </c>
      <c r="F50" s="3"/>
      <c r="G50" s="3"/>
      <c r="H50" s="3" t="s">
        <v>3140</v>
      </c>
      <c r="I50" s="3" t="s">
        <v>2037</v>
      </c>
      <c r="J50" s="3">
        <v>1</v>
      </c>
      <c r="K50" s="3">
        <v>0</v>
      </c>
      <c r="L50" s="4">
        <v>20</v>
      </c>
      <c r="M50" s="3" t="s">
        <v>2042</v>
      </c>
      <c r="N50" s="3" t="s">
        <v>28</v>
      </c>
      <c r="O50" s="3">
        <v>0</v>
      </c>
      <c r="P50" s="3">
        <v>0</v>
      </c>
      <c r="Q50" s="24">
        <v>9000</v>
      </c>
      <c r="R50" s="3">
        <f t="shared" si="0"/>
        <v>0</v>
      </c>
    </row>
    <row r="51" spans="1:18" x14ac:dyDescent="0.3">
      <c r="A51" s="3" t="s">
        <v>112</v>
      </c>
      <c r="B51" s="4" t="s">
        <v>2202</v>
      </c>
      <c r="C51" s="19" t="s">
        <v>2201</v>
      </c>
      <c r="D51" s="19" t="s">
        <v>2200</v>
      </c>
      <c r="E51" s="3" t="s">
        <v>3167</v>
      </c>
      <c r="F51" s="3"/>
      <c r="G51" s="3"/>
      <c r="H51" s="3" t="s">
        <v>3135</v>
      </c>
      <c r="I51" s="3" t="s">
        <v>2037</v>
      </c>
      <c r="J51" s="3">
        <v>1</v>
      </c>
      <c r="K51" s="3">
        <v>0</v>
      </c>
      <c r="L51" s="4">
        <v>56.4</v>
      </c>
      <c r="M51" s="3" t="s">
        <v>2042</v>
      </c>
      <c r="N51" s="3" t="s">
        <v>28</v>
      </c>
      <c r="O51" s="3">
        <v>0</v>
      </c>
      <c r="P51" s="3">
        <v>0</v>
      </c>
      <c r="Q51" s="24">
        <v>9000</v>
      </c>
      <c r="R51" s="3">
        <f t="shared" si="0"/>
        <v>0</v>
      </c>
    </row>
    <row r="52" spans="1:18" x14ac:dyDescent="0.3">
      <c r="A52" s="3" t="s">
        <v>149</v>
      </c>
      <c r="B52" s="4" t="s">
        <v>2205</v>
      </c>
      <c r="C52" s="19" t="s">
        <v>2204</v>
      </c>
      <c r="D52" s="19" t="s">
        <v>2203</v>
      </c>
      <c r="E52" s="3" t="s">
        <v>3167</v>
      </c>
      <c r="F52" s="3"/>
      <c r="G52" s="3"/>
      <c r="H52" s="3" t="s">
        <v>3138</v>
      </c>
      <c r="I52" s="3" t="s">
        <v>2037</v>
      </c>
      <c r="J52" s="3">
        <v>1</v>
      </c>
      <c r="K52" s="3">
        <v>0</v>
      </c>
      <c r="L52" s="4">
        <v>20</v>
      </c>
      <c r="M52" s="3" t="s">
        <v>2042</v>
      </c>
      <c r="N52" s="3" t="s">
        <v>28</v>
      </c>
      <c r="O52" s="3">
        <v>0</v>
      </c>
      <c r="P52" s="3">
        <v>0</v>
      </c>
      <c r="Q52" s="24">
        <v>9000</v>
      </c>
      <c r="R52" s="3">
        <f t="shared" si="0"/>
        <v>0</v>
      </c>
    </row>
    <row r="53" spans="1:18" x14ac:dyDescent="0.3">
      <c r="A53" s="3" t="s">
        <v>149</v>
      </c>
      <c r="B53" s="4" t="s">
        <v>2208</v>
      </c>
      <c r="C53" s="19" t="s">
        <v>2207</v>
      </c>
      <c r="D53" s="19" t="s">
        <v>2206</v>
      </c>
      <c r="E53" s="3" t="s">
        <v>3167</v>
      </c>
      <c r="F53" s="3"/>
      <c r="G53" s="3"/>
      <c r="H53" s="3" t="s">
        <v>3138</v>
      </c>
      <c r="I53" s="3" t="s">
        <v>2037</v>
      </c>
      <c r="J53" s="3">
        <v>1</v>
      </c>
      <c r="K53" s="3">
        <v>0</v>
      </c>
      <c r="L53" s="4">
        <v>12</v>
      </c>
      <c r="M53" s="3" t="s">
        <v>2042</v>
      </c>
      <c r="N53" s="3" t="s">
        <v>28</v>
      </c>
      <c r="O53" s="3">
        <v>0</v>
      </c>
      <c r="P53" s="3">
        <v>0</v>
      </c>
      <c r="Q53" s="24">
        <v>9000</v>
      </c>
      <c r="R53" s="3">
        <f t="shared" si="0"/>
        <v>0</v>
      </c>
    </row>
    <row r="54" spans="1:18" x14ac:dyDescent="0.3">
      <c r="A54" s="3" t="s">
        <v>149</v>
      </c>
      <c r="B54" s="4" t="s">
        <v>2211</v>
      </c>
      <c r="C54" s="19" t="s">
        <v>2210</v>
      </c>
      <c r="D54" s="19" t="s">
        <v>2209</v>
      </c>
      <c r="E54" s="3" t="s">
        <v>3167</v>
      </c>
      <c r="F54" s="3"/>
      <c r="G54" s="3"/>
      <c r="H54" s="3" t="s">
        <v>3138</v>
      </c>
      <c r="I54" s="3" t="s">
        <v>2037</v>
      </c>
      <c r="J54" s="3">
        <v>1</v>
      </c>
      <c r="K54" s="3">
        <v>0</v>
      </c>
      <c r="L54" s="4">
        <v>13.4</v>
      </c>
      <c r="M54" s="3" t="s">
        <v>2042</v>
      </c>
      <c r="N54" s="3" t="s">
        <v>28</v>
      </c>
      <c r="O54" s="3">
        <v>0</v>
      </c>
      <c r="P54" s="3">
        <v>0</v>
      </c>
      <c r="Q54" s="24">
        <v>9000</v>
      </c>
      <c r="R54" s="3">
        <f t="shared" si="0"/>
        <v>0</v>
      </c>
    </row>
    <row r="55" spans="1:18" x14ac:dyDescent="0.3">
      <c r="A55" s="3" t="s">
        <v>149</v>
      </c>
      <c r="B55" s="4" t="s">
        <v>2214</v>
      </c>
      <c r="C55" s="19" t="s">
        <v>2213</v>
      </c>
      <c r="D55" s="19" t="s">
        <v>2212</v>
      </c>
      <c r="E55" s="3" t="s">
        <v>3167</v>
      </c>
      <c r="F55" s="3"/>
      <c r="G55" s="3"/>
      <c r="H55" s="3" t="s">
        <v>3138</v>
      </c>
      <c r="I55" s="3" t="s">
        <v>2037</v>
      </c>
      <c r="J55" s="3">
        <v>1</v>
      </c>
      <c r="K55" s="3">
        <v>0</v>
      </c>
      <c r="L55" s="4">
        <v>24</v>
      </c>
      <c r="M55" s="3" t="s">
        <v>2042</v>
      </c>
      <c r="N55" s="3" t="s">
        <v>28</v>
      </c>
      <c r="O55" s="3">
        <v>0</v>
      </c>
      <c r="P55" s="3">
        <v>0</v>
      </c>
      <c r="Q55" s="24">
        <v>9000</v>
      </c>
      <c r="R55" s="3">
        <f t="shared" si="0"/>
        <v>0</v>
      </c>
    </row>
    <row r="56" spans="1:18" x14ac:dyDescent="0.3">
      <c r="A56" s="3" t="s">
        <v>149</v>
      </c>
      <c r="B56" s="4" t="s">
        <v>2217</v>
      </c>
      <c r="C56" s="19" t="s">
        <v>2216</v>
      </c>
      <c r="D56" s="19" t="s">
        <v>2215</v>
      </c>
      <c r="E56" s="3" t="s">
        <v>3167</v>
      </c>
      <c r="F56" s="3"/>
      <c r="G56" s="3"/>
      <c r="H56" s="3" t="s">
        <v>3138</v>
      </c>
      <c r="I56" s="3" t="s">
        <v>2037</v>
      </c>
      <c r="J56" s="3">
        <v>1</v>
      </c>
      <c r="K56" s="3">
        <v>0</v>
      </c>
      <c r="L56" s="4">
        <v>8.5500000000000007</v>
      </c>
      <c r="M56" s="3" t="s">
        <v>2042</v>
      </c>
      <c r="N56" s="3" t="s">
        <v>28</v>
      </c>
      <c r="O56" s="3">
        <v>0</v>
      </c>
      <c r="P56" s="3">
        <v>0</v>
      </c>
      <c r="Q56" s="24">
        <v>9000</v>
      </c>
      <c r="R56" s="3">
        <f t="shared" si="0"/>
        <v>0</v>
      </c>
    </row>
    <row r="57" spans="1:18" x14ac:dyDescent="0.3">
      <c r="A57" s="3" t="s">
        <v>149</v>
      </c>
      <c r="B57" s="4" t="s">
        <v>2220</v>
      </c>
      <c r="C57" s="19" t="s">
        <v>2219</v>
      </c>
      <c r="D57" s="19" t="s">
        <v>2218</v>
      </c>
      <c r="E57" s="3" t="s">
        <v>3167</v>
      </c>
      <c r="F57" s="3"/>
      <c r="G57" s="3"/>
      <c r="H57" s="3" t="s">
        <v>3138</v>
      </c>
      <c r="I57" s="3" t="s">
        <v>2037</v>
      </c>
      <c r="J57" s="3">
        <v>1</v>
      </c>
      <c r="K57" s="3">
        <v>0</v>
      </c>
      <c r="L57" s="4">
        <v>36.979999999999997</v>
      </c>
      <c r="M57" s="3" t="s">
        <v>2042</v>
      </c>
      <c r="N57" s="3" t="s">
        <v>28</v>
      </c>
      <c r="O57" s="3">
        <v>0</v>
      </c>
      <c r="P57" s="3">
        <v>0</v>
      </c>
      <c r="Q57" s="24">
        <v>9000</v>
      </c>
      <c r="R57" s="3">
        <f t="shared" si="0"/>
        <v>0</v>
      </c>
    </row>
    <row r="58" spans="1:18" x14ac:dyDescent="0.3">
      <c r="A58" s="3" t="s">
        <v>157</v>
      </c>
      <c r="B58" s="4" t="s">
        <v>2223</v>
      </c>
      <c r="C58" s="19" t="s">
        <v>2222</v>
      </c>
      <c r="D58" s="19" t="s">
        <v>2221</v>
      </c>
      <c r="E58" s="3" t="s">
        <v>3167</v>
      </c>
      <c r="F58" s="3"/>
      <c r="G58" s="3"/>
      <c r="H58" s="3" t="s">
        <v>3145</v>
      </c>
      <c r="I58" s="3" t="s">
        <v>2037</v>
      </c>
      <c r="J58" s="3">
        <v>1</v>
      </c>
      <c r="K58" s="3">
        <v>0</v>
      </c>
      <c r="L58" s="4">
        <v>47.5</v>
      </c>
      <c r="M58" s="3" t="s">
        <v>2042</v>
      </c>
      <c r="N58" s="3" t="s">
        <v>28</v>
      </c>
      <c r="O58" s="3">
        <v>0</v>
      </c>
      <c r="P58" s="3">
        <v>0</v>
      </c>
      <c r="Q58" s="24">
        <v>9000</v>
      </c>
      <c r="R58" s="3">
        <f t="shared" si="0"/>
        <v>0</v>
      </c>
    </row>
    <row r="59" spans="1:18" x14ac:dyDescent="0.3">
      <c r="A59" s="3" t="s">
        <v>188</v>
      </c>
      <c r="B59" s="4" t="s">
        <v>2226</v>
      </c>
      <c r="C59" s="19" t="s">
        <v>2225</v>
      </c>
      <c r="D59" s="19" t="s">
        <v>2224</v>
      </c>
      <c r="E59" s="3" t="s">
        <v>3167</v>
      </c>
      <c r="F59" s="3"/>
      <c r="G59" s="3"/>
      <c r="H59" s="3" t="s">
        <v>3135</v>
      </c>
      <c r="I59" s="3" t="s">
        <v>2037</v>
      </c>
      <c r="J59" s="3">
        <v>1</v>
      </c>
      <c r="K59" s="3">
        <v>0</v>
      </c>
      <c r="L59" s="4">
        <v>21</v>
      </c>
      <c r="M59" s="3" t="s">
        <v>2160</v>
      </c>
      <c r="N59" s="3" t="s">
        <v>28</v>
      </c>
      <c r="O59" s="3">
        <v>0</v>
      </c>
      <c r="P59" s="3">
        <v>0</v>
      </c>
      <c r="Q59" s="24">
        <v>9000</v>
      </c>
      <c r="R59" s="3">
        <f t="shared" si="0"/>
        <v>0</v>
      </c>
    </row>
    <row r="60" spans="1:18" x14ac:dyDescent="0.3">
      <c r="A60" s="3" t="s">
        <v>262</v>
      </c>
      <c r="B60" s="4" t="s">
        <v>2229</v>
      </c>
      <c r="C60" s="19" t="s">
        <v>2228</v>
      </c>
      <c r="D60" s="19" t="s">
        <v>2227</v>
      </c>
      <c r="E60" s="3" t="s">
        <v>3167</v>
      </c>
      <c r="F60" s="3"/>
      <c r="G60" s="3"/>
      <c r="H60" s="3" t="s">
        <v>3135</v>
      </c>
      <c r="I60" s="3" t="s">
        <v>2037</v>
      </c>
      <c r="J60" s="3">
        <v>1</v>
      </c>
      <c r="K60" s="3">
        <v>0</v>
      </c>
      <c r="L60" s="4">
        <v>20</v>
      </c>
      <c r="M60" s="3" t="s">
        <v>2042</v>
      </c>
      <c r="N60" s="3" t="s">
        <v>28</v>
      </c>
      <c r="O60" s="3">
        <v>0</v>
      </c>
      <c r="P60" s="3">
        <v>0</v>
      </c>
      <c r="Q60" s="24">
        <v>9000</v>
      </c>
      <c r="R60" s="3">
        <f t="shared" si="0"/>
        <v>0</v>
      </c>
    </row>
    <row r="61" spans="1:18" x14ac:dyDescent="0.3">
      <c r="A61" s="3" t="s">
        <v>190</v>
      </c>
      <c r="B61" s="4" t="s">
        <v>2232</v>
      </c>
      <c r="C61" s="19" t="s">
        <v>2231</v>
      </c>
      <c r="D61" s="19" t="s">
        <v>2230</v>
      </c>
      <c r="E61" s="3" t="s">
        <v>3167</v>
      </c>
      <c r="F61" s="3"/>
      <c r="G61" s="3"/>
      <c r="H61" s="3" t="s">
        <v>3142</v>
      </c>
      <c r="I61" s="3" t="s">
        <v>2037</v>
      </c>
      <c r="J61" s="3">
        <v>1</v>
      </c>
      <c r="K61" s="3">
        <v>0</v>
      </c>
      <c r="L61" s="4">
        <v>13.8</v>
      </c>
      <c r="M61" s="3" t="s">
        <v>2042</v>
      </c>
      <c r="N61" s="3" t="s">
        <v>28</v>
      </c>
      <c r="O61" s="3">
        <v>0</v>
      </c>
      <c r="P61" s="3">
        <v>0</v>
      </c>
      <c r="Q61" s="24">
        <v>9000</v>
      </c>
      <c r="R61" s="3">
        <f t="shared" si="0"/>
        <v>0</v>
      </c>
    </row>
    <row r="62" spans="1:18" x14ac:dyDescent="0.3">
      <c r="A62" s="3" t="s">
        <v>208</v>
      </c>
      <c r="B62" s="4" t="s">
        <v>2235</v>
      </c>
      <c r="C62" s="19" t="s">
        <v>2234</v>
      </c>
      <c r="D62" s="19" t="s">
        <v>2233</v>
      </c>
      <c r="E62" s="3" t="s">
        <v>33</v>
      </c>
      <c r="F62" s="3"/>
      <c r="G62" s="3"/>
      <c r="H62" s="3" t="s">
        <v>3135</v>
      </c>
      <c r="I62" s="3" t="s">
        <v>2037</v>
      </c>
      <c r="J62" s="3">
        <v>1</v>
      </c>
      <c r="K62" s="3">
        <v>3</v>
      </c>
      <c r="L62" s="4">
        <v>8</v>
      </c>
      <c r="M62" s="3" t="s">
        <v>2096</v>
      </c>
      <c r="N62" s="3" t="s">
        <v>30</v>
      </c>
      <c r="O62" s="3">
        <v>80</v>
      </c>
      <c r="P62" s="3" t="s">
        <v>995</v>
      </c>
      <c r="Q62" s="24">
        <v>8000</v>
      </c>
      <c r="R62" s="3">
        <f t="shared" si="0"/>
        <v>80</v>
      </c>
    </row>
    <row r="63" spans="1:18" x14ac:dyDescent="0.3">
      <c r="A63" s="3" t="s">
        <v>214</v>
      </c>
      <c r="B63" s="4" t="s">
        <v>2238</v>
      </c>
      <c r="C63" s="19" t="s">
        <v>2237</v>
      </c>
      <c r="D63" s="19" t="s">
        <v>2236</v>
      </c>
      <c r="E63" s="3" t="s">
        <v>3167</v>
      </c>
      <c r="F63" s="3"/>
      <c r="G63" s="3"/>
      <c r="H63" s="3" t="s">
        <v>3140</v>
      </c>
      <c r="I63" s="3" t="s">
        <v>2037</v>
      </c>
      <c r="J63" s="3">
        <v>1</v>
      </c>
      <c r="K63" s="3">
        <v>0</v>
      </c>
      <c r="L63" s="4">
        <v>54.3</v>
      </c>
      <c r="M63" s="3" t="s">
        <v>2042</v>
      </c>
      <c r="N63" s="3" t="s">
        <v>28</v>
      </c>
      <c r="O63" s="3">
        <v>0</v>
      </c>
      <c r="P63" s="3">
        <v>0</v>
      </c>
      <c r="Q63" s="24">
        <v>9000</v>
      </c>
      <c r="R63" s="3">
        <f t="shared" si="0"/>
        <v>0</v>
      </c>
    </row>
    <row r="64" spans="1:18" x14ac:dyDescent="0.3">
      <c r="A64" s="3" t="s">
        <v>202</v>
      </c>
      <c r="B64" s="4" t="s">
        <v>2241</v>
      </c>
      <c r="C64" s="19" t="s">
        <v>2240</v>
      </c>
      <c r="D64" s="19" t="s">
        <v>2239</v>
      </c>
      <c r="E64" s="3" t="s">
        <v>3167</v>
      </c>
      <c r="F64" s="3"/>
      <c r="G64" s="3"/>
      <c r="H64" s="3" t="s">
        <v>3146</v>
      </c>
      <c r="I64" s="3" t="s">
        <v>2037</v>
      </c>
      <c r="J64" s="3">
        <v>1</v>
      </c>
      <c r="K64" s="3">
        <v>0</v>
      </c>
      <c r="L64" s="4">
        <v>18.7</v>
      </c>
      <c r="M64" s="3" t="s">
        <v>2042</v>
      </c>
      <c r="N64" s="3" t="s">
        <v>28</v>
      </c>
      <c r="O64" s="3">
        <v>0</v>
      </c>
      <c r="P64" s="3">
        <v>0</v>
      </c>
      <c r="Q64" s="24">
        <v>9000</v>
      </c>
      <c r="R64" s="3">
        <f t="shared" si="0"/>
        <v>0</v>
      </c>
    </row>
    <row r="65" spans="1:18" x14ac:dyDescent="0.3">
      <c r="A65" s="3" t="s">
        <v>226</v>
      </c>
      <c r="B65" s="4" t="s">
        <v>2244</v>
      </c>
      <c r="C65" s="19" t="s">
        <v>2243</v>
      </c>
      <c r="D65" s="19" t="s">
        <v>2242</v>
      </c>
      <c r="E65" s="3" t="s">
        <v>3167</v>
      </c>
      <c r="F65" s="3"/>
      <c r="G65" s="3"/>
      <c r="H65" s="3" t="s">
        <v>3147</v>
      </c>
      <c r="I65" s="3" t="s">
        <v>2037</v>
      </c>
      <c r="J65" s="3">
        <v>1</v>
      </c>
      <c r="K65" s="3">
        <v>0</v>
      </c>
      <c r="L65" s="4">
        <v>17.5</v>
      </c>
      <c r="M65" s="3" t="s">
        <v>2042</v>
      </c>
      <c r="N65" s="3" t="s">
        <v>28</v>
      </c>
      <c r="O65" s="3">
        <v>0</v>
      </c>
      <c r="P65" s="3">
        <v>0</v>
      </c>
      <c r="Q65" s="24">
        <v>9000</v>
      </c>
      <c r="R65" s="3">
        <f t="shared" si="0"/>
        <v>0</v>
      </c>
    </row>
    <row r="66" spans="1:18" x14ac:dyDescent="0.3">
      <c r="A66" s="3" t="s">
        <v>226</v>
      </c>
      <c r="B66" s="4" t="s">
        <v>2247</v>
      </c>
      <c r="C66" s="19" t="s">
        <v>2246</v>
      </c>
      <c r="D66" s="19" t="s">
        <v>2245</v>
      </c>
      <c r="E66" s="3" t="s">
        <v>33</v>
      </c>
      <c r="F66" s="3"/>
      <c r="G66" s="3"/>
      <c r="H66" s="3" t="s">
        <v>3147</v>
      </c>
      <c r="I66" s="3" t="s">
        <v>2037</v>
      </c>
      <c r="J66" s="3">
        <v>1</v>
      </c>
      <c r="K66" s="3">
        <v>5</v>
      </c>
      <c r="L66" s="4">
        <v>22.5</v>
      </c>
      <c r="M66" s="3" t="s">
        <v>2096</v>
      </c>
      <c r="N66" s="3" t="s">
        <v>30</v>
      </c>
      <c r="O66" s="3">
        <v>80</v>
      </c>
      <c r="P66" s="3" t="s">
        <v>995</v>
      </c>
      <c r="Q66" s="24">
        <v>8000</v>
      </c>
      <c r="R66" s="3">
        <f t="shared" si="0"/>
        <v>80</v>
      </c>
    </row>
    <row r="67" spans="1:18" x14ac:dyDescent="0.3">
      <c r="A67" s="3" t="s">
        <v>226</v>
      </c>
      <c r="B67" s="4" t="s">
        <v>2250</v>
      </c>
      <c r="C67" s="19" t="s">
        <v>2249</v>
      </c>
      <c r="D67" s="19" t="s">
        <v>2248</v>
      </c>
      <c r="E67" s="3" t="s">
        <v>33</v>
      </c>
      <c r="F67" s="3"/>
      <c r="G67" s="3"/>
      <c r="H67" s="3" t="s">
        <v>3147</v>
      </c>
      <c r="I67" s="3" t="s">
        <v>2037</v>
      </c>
      <c r="J67" s="3">
        <v>1</v>
      </c>
      <c r="K67" s="3">
        <v>5</v>
      </c>
      <c r="L67" s="4">
        <v>22.5</v>
      </c>
      <c r="M67" s="3" t="s">
        <v>2096</v>
      </c>
      <c r="N67" s="3" t="s">
        <v>30</v>
      </c>
      <c r="O67" s="3">
        <v>80</v>
      </c>
      <c r="P67" s="3" t="s">
        <v>995</v>
      </c>
      <c r="Q67" s="24">
        <v>8000</v>
      </c>
      <c r="R67" s="3">
        <f t="shared" ref="R67:R130" si="1">O67</f>
        <v>80</v>
      </c>
    </row>
    <row r="68" spans="1:18" x14ac:dyDescent="0.3">
      <c r="A68" s="3" t="s">
        <v>305</v>
      </c>
      <c r="B68" s="4" t="s">
        <v>2253</v>
      </c>
      <c r="C68" s="19" t="s">
        <v>2252</v>
      </c>
      <c r="D68" s="19" t="s">
        <v>2251</v>
      </c>
      <c r="E68" s="3" t="s">
        <v>3167</v>
      </c>
      <c r="F68" s="3"/>
      <c r="G68" s="3"/>
      <c r="H68" s="3" t="s">
        <v>3148</v>
      </c>
      <c r="I68" s="3" t="s">
        <v>2037</v>
      </c>
      <c r="J68" s="3">
        <v>1</v>
      </c>
      <c r="K68" s="3">
        <v>0</v>
      </c>
      <c r="L68" s="4">
        <v>52</v>
      </c>
      <c r="M68" s="3" t="s">
        <v>2042</v>
      </c>
      <c r="N68" s="3" t="s">
        <v>28</v>
      </c>
      <c r="O68" s="3">
        <v>0</v>
      </c>
      <c r="P68" s="3">
        <v>0</v>
      </c>
      <c r="Q68" s="24">
        <v>9000</v>
      </c>
      <c r="R68" s="3">
        <f t="shared" si="1"/>
        <v>0</v>
      </c>
    </row>
    <row r="69" spans="1:18" x14ac:dyDescent="0.3">
      <c r="A69" s="3" t="s">
        <v>305</v>
      </c>
      <c r="B69" s="4" t="s">
        <v>2256</v>
      </c>
      <c r="C69" s="19" t="s">
        <v>2255</v>
      </c>
      <c r="D69" s="19" t="s">
        <v>2254</v>
      </c>
      <c r="E69" s="3" t="s">
        <v>3167</v>
      </c>
      <c r="F69" s="3"/>
      <c r="G69" s="3"/>
      <c r="H69" s="3" t="s">
        <v>3148</v>
      </c>
      <c r="I69" s="3" t="s">
        <v>2037</v>
      </c>
      <c r="J69" s="3">
        <v>1</v>
      </c>
      <c r="K69" s="3">
        <v>0</v>
      </c>
      <c r="L69" s="4">
        <v>14.132</v>
      </c>
      <c r="M69" s="3" t="s">
        <v>2042</v>
      </c>
      <c r="N69" s="3" t="s">
        <v>28</v>
      </c>
      <c r="O69" s="3">
        <v>0</v>
      </c>
      <c r="P69" s="3">
        <v>0</v>
      </c>
      <c r="Q69" s="24">
        <v>9000</v>
      </c>
      <c r="R69" s="3">
        <f t="shared" si="1"/>
        <v>0</v>
      </c>
    </row>
    <row r="70" spans="1:18" x14ac:dyDescent="0.3">
      <c r="A70" s="3" t="s">
        <v>305</v>
      </c>
      <c r="B70" s="4" t="s">
        <v>2259</v>
      </c>
      <c r="C70" s="19" t="s">
        <v>2258</v>
      </c>
      <c r="D70" s="19" t="s">
        <v>2257</v>
      </c>
      <c r="E70" s="3" t="s">
        <v>3167</v>
      </c>
      <c r="F70" s="3"/>
      <c r="G70" s="3"/>
      <c r="H70" s="3" t="s">
        <v>3148</v>
      </c>
      <c r="I70" s="3" t="s">
        <v>2037</v>
      </c>
      <c r="J70" s="3">
        <v>1</v>
      </c>
      <c r="K70" s="3">
        <v>0</v>
      </c>
      <c r="L70" s="4">
        <v>38</v>
      </c>
      <c r="M70" s="3" t="s">
        <v>2042</v>
      </c>
      <c r="N70" s="3" t="s">
        <v>28</v>
      </c>
      <c r="O70" s="3">
        <v>0</v>
      </c>
      <c r="P70" s="3">
        <v>0</v>
      </c>
      <c r="Q70" s="24">
        <v>9000</v>
      </c>
      <c r="R70" s="3">
        <f t="shared" si="1"/>
        <v>0</v>
      </c>
    </row>
    <row r="71" spans="1:18" x14ac:dyDescent="0.3">
      <c r="A71" s="3" t="s">
        <v>305</v>
      </c>
      <c r="B71" s="4" t="s">
        <v>2262</v>
      </c>
      <c r="C71" s="19" t="s">
        <v>2261</v>
      </c>
      <c r="D71" s="19" t="s">
        <v>2260</v>
      </c>
      <c r="E71" s="3" t="s">
        <v>3167</v>
      </c>
      <c r="F71" s="3"/>
      <c r="G71" s="3"/>
      <c r="H71" s="3" t="s">
        <v>3148</v>
      </c>
      <c r="I71" s="3" t="s">
        <v>2037</v>
      </c>
      <c r="J71" s="3">
        <v>1</v>
      </c>
      <c r="K71" s="3">
        <v>0</v>
      </c>
      <c r="L71" s="4">
        <v>32.5</v>
      </c>
      <c r="M71" s="3" t="s">
        <v>2042</v>
      </c>
      <c r="N71" s="3" t="s">
        <v>28</v>
      </c>
      <c r="O71" s="3">
        <v>0</v>
      </c>
      <c r="P71" s="3">
        <v>0</v>
      </c>
      <c r="Q71" s="24">
        <v>9000</v>
      </c>
      <c r="R71" s="3">
        <f t="shared" si="1"/>
        <v>0</v>
      </c>
    </row>
    <row r="72" spans="1:18" x14ac:dyDescent="0.3">
      <c r="A72" s="3" t="s">
        <v>305</v>
      </c>
      <c r="B72" s="4" t="s">
        <v>2265</v>
      </c>
      <c r="C72" s="19" t="s">
        <v>2264</v>
      </c>
      <c r="D72" s="19" t="s">
        <v>2263</v>
      </c>
      <c r="E72" s="3" t="s">
        <v>3167</v>
      </c>
      <c r="F72" s="3"/>
      <c r="G72" s="3"/>
      <c r="H72" s="3" t="s">
        <v>3148</v>
      </c>
      <c r="I72" s="3" t="s">
        <v>2037</v>
      </c>
      <c r="J72" s="3">
        <v>1</v>
      </c>
      <c r="K72" s="3">
        <v>0</v>
      </c>
      <c r="L72" s="4">
        <v>33</v>
      </c>
      <c r="M72" s="3" t="s">
        <v>2042</v>
      </c>
      <c r="N72" s="3" t="s">
        <v>28</v>
      </c>
      <c r="O72" s="3">
        <v>0</v>
      </c>
      <c r="P72" s="3">
        <v>0</v>
      </c>
      <c r="Q72" s="24">
        <v>9000</v>
      </c>
      <c r="R72" s="3">
        <f t="shared" si="1"/>
        <v>0</v>
      </c>
    </row>
    <row r="73" spans="1:18" x14ac:dyDescent="0.3">
      <c r="A73" s="3" t="s">
        <v>232</v>
      </c>
      <c r="B73" s="4" t="s">
        <v>2268</v>
      </c>
      <c r="C73" s="19" t="s">
        <v>2267</v>
      </c>
      <c r="D73" s="19" t="s">
        <v>2266</v>
      </c>
      <c r="E73" s="3" t="s">
        <v>3167</v>
      </c>
      <c r="F73" s="3"/>
      <c r="G73" s="3"/>
      <c r="H73" s="3" t="s">
        <v>3149</v>
      </c>
      <c r="I73" s="3" t="s">
        <v>2037</v>
      </c>
      <c r="J73" s="3">
        <v>1</v>
      </c>
      <c r="K73" s="3">
        <v>0</v>
      </c>
      <c r="L73" s="4">
        <v>18.3</v>
      </c>
      <c r="M73" s="3" t="s">
        <v>2042</v>
      </c>
      <c r="N73" s="3" t="s">
        <v>28</v>
      </c>
      <c r="O73" s="3">
        <v>0</v>
      </c>
      <c r="P73" s="3">
        <v>0</v>
      </c>
      <c r="Q73" s="24">
        <v>9000</v>
      </c>
      <c r="R73" s="3">
        <f t="shared" si="1"/>
        <v>0</v>
      </c>
    </row>
    <row r="74" spans="1:18" x14ac:dyDescent="0.3">
      <c r="A74" s="3" t="s">
        <v>232</v>
      </c>
      <c r="B74" s="4" t="s">
        <v>2271</v>
      </c>
      <c r="C74" s="19" t="s">
        <v>2270</v>
      </c>
      <c r="D74" s="19" t="s">
        <v>2269</v>
      </c>
      <c r="E74" s="3" t="s">
        <v>3167</v>
      </c>
      <c r="F74" s="3"/>
      <c r="G74" s="3"/>
      <c r="H74" s="3" t="s">
        <v>3149</v>
      </c>
      <c r="I74" s="3" t="s">
        <v>2037</v>
      </c>
      <c r="J74" s="3">
        <v>1</v>
      </c>
      <c r="K74" s="3">
        <v>0</v>
      </c>
      <c r="L74" s="4">
        <v>33.1</v>
      </c>
      <c r="M74" s="3" t="s">
        <v>2042</v>
      </c>
      <c r="N74" s="3" t="s">
        <v>28</v>
      </c>
      <c r="O74" s="3">
        <v>0</v>
      </c>
      <c r="P74" s="3">
        <v>0</v>
      </c>
      <c r="Q74" s="24">
        <v>9000</v>
      </c>
      <c r="R74" s="3">
        <f t="shared" si="1"/>
        <v>0</v>
      </c>
    </row>
    <row r="75" spans="1:18" x14ac:dyDescent="0.3">
      <c r="A75" s="3" t="s">
        <v>255</v>
      </c>
      <c r="B75" s="4" t="s">
        <v>2274</v>
      </c>
      <c r="C75" s="19" t="s">
        <v>2273</v>
      </c>
      <c r="D75" s="19" t="s">
        <v>2272</v>
      </c>
      <c r="E75" s="3" t="s">
        <v>3167</v>
      </c>
      <c r="F75" s="3"/>
      <c r="G75" s="3"/>
      <c r="H75" s="3" t="s">
        <v>3140</v>
      </c>
      <c r="I75" s="3" t="s">
        <v>2037</v>
      </c>
      <c r="J75" s="3">
        <v>1</v>
      </c>
      <c r="K75" s="3">
        <v>0</v>
      </c>
      <c r="L75" s="4">
        <v>37.85</v>
      </c>
      <c r="M75" s="3" t="s">
        <v>2042</v>
      </c>
      <c r="N75" s="3" t="s">
        <v>28</v>
      </c>
      <c r="O75" s="3">
        <v>0</v>
      </c>
      <c r="P75" s="3">
        <v>0</v>
      </c>
      <c r="Q75" s="24">
        <v>9000</v>
      </c>
      <c r="R75" s="3">
        <f t="shared" si="1"/>
        <v>0</v>
      </c>
    </row>
    <row r="76" spans="1:18" x14ac:dyDescent="0.3">
      <c r="A76" s="3" t="s">
        <v>255</v>
      </c>
      <c r="B76" s="4" t="s">
        <v>2277</v>
      </c>
      <c r="C76" s="19" t="s">
        <v>2276</v>
      </c>
      <c r="D76" s="19" t="s">
        <v>2275</v>
      </c>
      <c r="E76" s="3" t="s">
        <v>3167</v>
      </c>
      <c r="F76" s="3"/>
      <c r="G76" s="3"/>
      <c r="H76" s="3" t="s">
        <v>3140</v>
      </c>
      <c r="I76" s="3" t="s">
        <v>2037</v>
      </c>
      <c r="J76" s="3">
        <v>1</v>
      </c>
      <c r="K76" s="3">
        <v>0</v>
      </c>
      <c r="L76" s="4">
        <v>14</v>
      </c>
      <c r="M76" s="3" t="s">
        <v>2042</v>
      </c>
      <c r="N76" s="3" t="s">
        <v>28</v>
      </c>
      <c r="O76" s="3">
        <v>0</v>
      </c>
      <c r="P76" s="3">
        <v>0</v>
      </c>
      <c r="Q76" s="24">
        <v>9000</v>
      </c>
      <c r="R76" s="3">
        <f t="shared" si="1"/>
        <v>0</v>
      </c>
    </row>
    <row r="77" spans="1:18" x14ac:dyDescent="0.3">
      <c r="A77" s="3" t="s">
        <v>245</v>
      </c>
      <c r="B77" s="4" t="s">
        <v>2280</v>
      </c>
      <c r="C77" s="19" t="s">
        <v>2279</v>
      </c>
      <c r="D77" s="19" t="s">
        <v>2278</v>
      </c>
      <c r="E77" s="3" t="s">
        <v>33</v>
      </c>
      <c r="F77" s="3"/>
      <c r="G77" s="3"/>
      <c r="H77" s="3" t="s">
        <v>3135</v>
      </c>
      <c r="I77" s="3" t="s">
        <v>2037</v>
      </c>
      <c r="J77" s="3">
        <v>1</v>
      </c>
      <c r="K77" s="3">
        <v>4</v>
      </c>
      <c r="L77" s="4">
        <v>10</v>
      </c>
      <c r="M77" s="3" t="s">
        <v>2096</v>
      </c>
      <c r="N77" s="3" t="s">
        <v>30</v>
      </c>
      <c r="O77" s="3">
        <v>80</v>
      </c>
      <c r="P77" s="3" t="s">
        <v>995</v>
      </c>
      <c r="Q77" s="24">
        <v>8000</v>
      </c>
      <c r="R77" s="3">
        <f t="shared" si="1"/>
        <v>80</v>
      </c>
    </row>
    <row r="78" spans="1:18" x14ac:dyDescent="0.3">
      <c r="A78" s="3" t="s">
        <v>245</v>
      </c>
      <c r="B78" s="4" t="s">
        <v>2283</v>
      </c>
      <c r="C78" s="19" t="s">
        <v>2282</v>
      </c>
      <c r="D78" s="19" t="s">
        <v>2281</v>
      </c>
      <c r="E78" s="3" t="s">
        <v>33</v>
      </c>
      <c r="F78" s="3"/>
      <c r="G78" s="3"/>
      <c r="H78" s="3" t="s">
        <v>3135</v>
      </c>
      <c r="I78" s="3" t="s">
        <v>2037</v>
      </c>
      <c r="J78" s="3">
        <v>1</v>
      </c>
      <c r="K78" s="3">
        <v>4</v>
      </c>
      <c r="L78" s="4">
        <v>10</v>
      </c>
      <c r="M78" s="3" t="s">
        <v>2096</v>
      </c>
      <c r="N78" s="3" t="s">
        <v>30</v>
      </c>
      <c r="O78" s="3">
        <v>80</v>
      </c>
      <c r="P78" s="3" t="s">
        <v>995</v>
      </c>
      <c r="Q78" s="24">
        <v>8000</v>
      </c>
      <c r="R78" s="3">
        <f t="shared" si="1"/>
        <v>80</v>
      </c>
    </row>
    <row r="79" spans="1:18" x14ac:dyDescent="0.3">
      <c r="A79" s="3" t="s">
        <v>200</v>
      </c>
      <c r="B79" s="4" t="s">
        <v>2286</v>
      </c>
      <c r="C79" s="19" t="s">
        <v>2285</v>
      </c>
      <c r="D79" s="19" t="s">
        <v>2284</v>
      </c>
      <c r="E79" s="3" t="s">
        <v>3167</v>
      </c>
      <c r="F79" s="3"/>
      <c r="G79" s="3"/>
      <c r="H79" s="3" t="s">
        <v>3150</v>
      </c>
      <c r="I79" s="3" t="s">
        <v>2037</v>
      </c>
      <c r="J79" s="3">
        <v>1</v>
      </c>
      <c r="K79" s="3">
        <v>0</v>
      </c>
      <c r="L79" s="4">
        <v>46</v>
      </c>
      <c r="M79" s="3" t="s">
        <v>2042</v>
      </c>
      <c r="N79" s="3" t="s">
        <v>28</v>
      </c>
      <c r="O79" s="3">
        <v>0</v>
      </c>
      <c r="P79" s="3">
        <v>0</v>
      </c>
      <c r="Q79" s="24">
        <v>9000</v>
      </c>
      <c r="R79" s="3">
        <f t="shared" si="1"/>
        <v>0</v>
      </c>
    </row>
    <row r="80" spans="1:18" x14ac:dyDescent="0.3">
      <c r="A80" s="3" t="s">
        <v>200</v>
      </c>
      <c r="B80" s="4" t="s">
        <v>2289</v>
      </c>
      <c r="C80" s="19" t="s">
        <v>2288</v>
      </c>
      <c r="D80" s="19" t="s">
        <v>2287</v>
      </c>
      <c r="E80" s="3" t="s">
        <v>3167</v>
      </c>
      <c r="F80" s="3"/>
      <c r="G80" s="3"/>
      <c r="H80" s="3" t="s">
        <v>3150</v>
      </c>
      <c r="I80" s="3" t="s">
        <v>2037</v>
      </c>
      <c r="J80" s="3">
        <v>1</v>
      </c>
      <c r="K80" s="3">
        <v>0</v>
      </c>
      <c r="L80" s="4">
        <v>20</v>
      </c>
      <c r="M80" s="3" t="s">
        <v>2042</v>
      </c>
      <c r="N80" s="3" t="s">
        <v>28</v>
      </c>
      <c r="O80" s="3">
        <v>0</v>
      </c>
      <c r="P80" s="3">
        <v>0</v>
      </c>
      <c r="Q80" s="24">
        <v>9000</v>
      </c>
      <c r="R80" s="3">
        <f t="shared" si="1"/>
        <v>0</v>
      </c>
    </row>
    <row r="81" spans="1:18" x14ac:dyDescent="0.3">
      <c r="A81" s="3" t="s">
        <v>200</v>
      </c>
      <c r="B81" s="4" t="s">
        <v>2292</v>
      </c>
      <c r="C81" s="19" t="s">
        <v>2291</v>
      </c>
      <c r="D81" s="19" t="s">
        <v>2290</v>
      </c>
      <c r="E81" s="3" t="s">
        <v>3167</v>
      </c>
      <c r="F81" s="3"/>
      <c r="G81" s="3"/>
      <c r="H81" s="3" t="s">
        <v>3150</v>
      </c>
      <c r="I81" s="3" t="s">
        <v>2037</v>
      </c>
      <c r="J81" s="3">
        <v>1</v>
      </c>
      <c r="K81" s="3">
        <v>0</v>
      </c>
      <c r="L81" s="4">
        <v>12</v>
      </c>
      <c r="M81" s="3" t="s">
        <v>2042</v>
      </c>
      <c r="N81" s="3" t="s">
        <v>28</v>
      </c>
      <c r="O81" s="3">
        <v>0</v>
      </c>
      <c r="P81" s="3">
        <v>0</v>
      </c>
      <c r="Q81" s="24">
        <v>9000</v>
      </c>
      <c r="R81" s="3">
        <f t="shared" si="1"/>
        <v>0</v>
      </c>
    </row>
    <row r="82" spans="1:18" x14ac:dyDescent="0.3">
      <c r="A82" s="3" t="s">
        <v>200</v>
      </c>
      <c r="B82" s="4" t="s">
        <v>2295</v>
      </c>
      <c r="C82" s="19" t="s">
        <v>2294</v>
      </c>
      <c r="D82" s="19" t="s">
        <v>2293</v>
      </c>
      <c r="E82" s="3" t="s">
        <v>3167</v>
      </c>
      <c r="F82" s="3"/>
      <c r="G82" s="3"/>
      <c r="H82" s="3" t="s">
        <v>3150</v>
      </c>
      <c r="I82" s="3" t="s">
        <v>2037</v>
      </c>
      <c r="J82" s="3">
        <v>1</v>
      </c>
      <c r="K82" s="3">
        <v>0</v>
      </c>
      <c r="L82" s="4">
        <v>11.5</v>
      </c>
      <c r="M82" s="3" t="s">
        <v>2042</v>
      </c>
      <c r="N82" s="3" t="s">
        <v>28</v>
      </c>
      <c r="O82" s="3">
        <v>0</v>
      </c>
      <c r="P82" s="3">
        <v>0</v>
      </c>
      <c r="Q82" s="24">
        <v>9000</v>
      </c>
      <c r="R82" s="3">
        <f t="shared" si="1"/>
        <v>0</v>
      </c>
    </row>
    <row r="83" spans="1:18" x14ac:dyDescent="0.3">
      <c r="A83" s="3" t="s">
        <v>259</v>
      </c>
      <c r="B83" s="4" t="s">
        <v>2298</v>
      </c>
      <c r="C83" s="19" t="s">
        <v>2297</v>
      </c>
      <c r="D83" s="19" t="s">
        <v>2296</v>
      </c>
      <c r="E83" s="3" t="s">
        <v>3167</v>
      </c>
      <c r="F83" s="3"/>
      <c r="G83" s="3"/>
      <c r="H83" s="3" t="s">
        <v>3135</v>
      </c>
      <c r="I83" s="3" t="s">
        <v>2037</v>
      </c>
      <c r="J83" s="3">
        <v>1</v>
      </c>
      <c r="K83" s="3">
        <v>0</v>
      </c>
      <c r="L83" s="4">
        <v>90</v>
      </c>
      <c r="M83" s="3" t="s">
        <v>2042</v>
      </c>
      <c r="N83" s="3" t="s">
        <v>28</v>
      </c>
      <c r="O83" s="3">
        <v>0</v>
      </c>
      <c r="P83" s="3">
        <v>0</v>
      </c>
      <c r="Q83" s="24">
        <v>9000</v>
      </c>
      <c r="R83" s="3">
        <f t="shared" si="1"/>
        <v>0</v>
      </c>
    </row>
    <row r="84" spans="1:18" x14ac:dyDescent="0.3">
      <c r="A84" s="3" t="s">
        <v>281</v>
      </c>
      <c r="B84" s="4" t="s">
        <v>2301</v>
      </c>
      <c r="C84" s="19" t="s">
        <v>2300</v>
      </c>
      <c r="D84" s="19" t="s">
        <v>2299</v>
      </c>
      <c r="E84" s="3" t="s">
        <v>3167</v>
      </c>
      <c r="F84" s="3"/>
      <c r="G84" s="3"/>
      <c r="H84" s="3" t="s">
        <v>3151</v>
      </c>
      <c r="I84" s="3" t="s">
        <v>2037</v>
      </c>
      <c r="J84" s="3">
        <v>1</v>
      </c>
      <c r="K84" s="3">
        <v>0</v>
      </c>
      <c r="L84" s="4">
        <v>15</v>
      </c>
      <c r="M84" s="3" t="s">
        <v>2042</v>
      </c>
      <c r="N84" s="3" t="s">
        <v>28</v>
      </c>
      <c r="O84" s="3">
        <v>0</v>
      </c>
      <c r="P84" s="3">
        <v>0</v>
      </c>
      <c r="Q84" s="24">
        <v>9000</v>
      </c>
      <c r="R84" s="3">
        <f t="shared" si="1"/>
        <v>0</v>
      </c>
    </row>
    <row r="85" spans="1:18" x14ac:dyDescent="0.3">
      <c r="A85" s="3" t="s">
        <v>281</v>
      </c>
      <c r="B85" s="4" t="s">
        <v>2304</v>
      </c>
      <c r="C85" s="19" t="s">
        <v>2303</v>
      </c>
      <c r="D85" s="19" t="s">
        <v>2302</v>
      </c>
      <c r="E85" s="3" t="s">
        <v>3167</v>
      </c>
      <c r="F85" s="3"/>
      <c r="G85" s="3"/>
      <c r="H85" s="3" t="s">
        <v>3151</v>
      </c>
      <c r="I85" s="3" t="s">
        <v>2037</v>
      </c>
      <c r="J85" s="3">
        <v>1</v>
      </c>
      <c r="K85" s="3">
        <v>0</v>
      </c>
      <c r="L85" s="4">
        <v>25</v>
      </c>
      <c r="M85" s="3" t="s">
        <v>2042</v>
      </c>
      <c r="N85" s="3" t="s">
        <v>28</v>
      </c>
      <c r="O85" s="3">
        <v>0</v>
      </c>
      <c r="P85" s="3">
        <v>0</v>
      </c>
      <c r="Q85" s="24">
        <v>9000</v>
      </c>
      <c r="R85" s="3">
        <f t="shared" si="1"/>
        <v>0</v>
      </c>
    </row>
    <row r="86" spans="1:18" x14ac:dyDescent="0.3">
      <c r="A86" s="3" t="s">
        <v>281</v>
      </c>
      <c r="B86" s="4" t="s">
        <v>2307</v>
      </c>
      <c r="C86" s="19" t="s">
        <v>2306</v>
      </c>
      <c r="D86" s="19" t="s">
        <v>2305</v>
      </c>
      <c r="E86" s="3" t="s">
        <v>3167</v>
      </c>
      <c r="F86" s="3"/>
      <c r="G86" s="3"/>
      <c r="H86" s="3" t="s">
        <v>3151</v>
      </c>
      <c r="I86" s="3" t="s">
        <v>2037</v>
      </c>
      <c r="J86" s="3">
        <v>1</v>
      </c>
      <c r="K86" s="3">
        <v>0</v>
      </c>
      <c r="L86" s="4">
        <v>21</v>
      </c>
      <c r="M86" s="3" t="s">
        <v>2042</v>
      </c>
      <c r="N86" s="3" t="s">
        <v>28</v>
      </c>
      <c r="O86" s="3">
        <v>0</v>
      </c>
      <c r="P86" s="3">
        <v>0</v>
      </c>
      <c r="Q86" s="24">
        <v>9000</v>
      </c>
      <c r="R86" s="3">
        <f t="shared" si="1"/>
        <v>0</v>
      </c>
    </row>
    <row r="87" spans="1:18" x14ac:dyDescent="0.3">
      <c r="A87" s="3" t="s">
        <v>281</v>
      </c>
      <c r="B87" s="4" t="s">
        <v>2310</v>
      </c>
      <c r="C87" s="19" t="s">
        <v>2309</v>
      </c>
      <c r="D87" s="19" t="s">
        <v>2308</v>
      </c>
      <c r="E87" s="3" t="s">
        <v>3167</v>
      </c>
      <c r="F87" s="3"/>
      <c r="G87" s="3"/>
      <c r="H87" s="3" t="s">
        <v>3151</v>
      </c>
      <c r="I87" s="3" t="s">
        <v>2037</v>
      </c>
      <c r="J87" s="3">
        <v>1</v>
      </c>
      <c r="K87" s="3">
        <v>0</v>
      </c>
      <c r="L87" s="4">
        <v>42</v>
      </c>
      <c r="M87" s="3" t="s">
        <v>2042</v>
      </c>
      <c r="N87" s="3" t="s">
        <v>28</v>
      </c>
      <c r="O87" s="3">
        <v>0</v>
      </c>
      <c r="P87" s="3">
        <v>0</v>
      </c>
      <c r="Q87" s="24">
        <v>9000</v>
      </c>
      <c r="R87" s="3">
        <f t="shared" si="1"/>
        <v>0</v>
      </c>
    </row>
    <row r="88" spans="1:18" x14ac:dyDescent="0.3">
      <c r="A88" s="3" t="s">
        <v>281</v>
      </c>
      <c r="B88" s="4" t="s">
        <v>2313</v>
      </c>
      <c r="C88" s="19" t="s">
        <v>2312</v>
      </c>
      <c r="D88" s="19" t="s">
        <v>2311</v>
      </c>
      <c r="E88" s="3" t="s">
        <v>33</v>
      </c>
      <c r="F88" s="3"/>
      <c r="G88" s="3"/>
      <c r="H88" s="3" t="s">
        <v>3151</v>
      </c>
      <c r="I88" s="3" t="s">
        <v>2037</v>
      </c>
      <c r="J88" s="3">
        <v>1</v>
      </c>
      <c r="K88" s="3">
        <v>12.74</v>
      </c>
      <c r="L88" s="4">
        <v>17.600000000000001</v>
      </c>
      <c r="M88" s="3" t="s">
        <v>2314</v>
      </c>
      <c r="N88" s="3" t="s">
        <v>30</v>
      </c>
      <c r="O88" s="3">
        <v>21.76</v>
      </c>
      <c r="P88" s="3" t="s">
        <v>2315</v>
      </c>
      <c r="Q88" s="24">
        <v>8000</v>
      </c>
      <c r="R88" s="3">
        <f t="shared" si="1"/>
        <v>21.76</v>
      </c>
    </row>
    <row r="89" spans="1:18" x14ac:dyDescent="0.3">
      <c r="A89" s="3" t="s">
        <v>281</v>
      </c>
      <c r="B89" s="4" t="s">
        <v>2318</v>
      </c>
      <c r="C89" s="19" t="s">
        <v>2317</v>
      </c>
      <c r="D89" s="19" t="s">
        <v>2316</v>
      </c>
      <c r="E89" s="3" t="s">
        <v>3167</v>
      </c>
      <c r="F89" s="3"/>
      <c r="G89" s="3"/>
      <c r="H89" s="3" t="s">
        <v>3151</v>
      </c>
      <c r="I89" s="3" t="s">
        <v>2037</v>
      </c>
      <c r="J89" s="3">
        <v>1</v>
      </c>
      <c r="K89" s="3">
        <v>0</v>
      </c>
      <c r="L89" s="4">
        <v>12</v>
      </c>
      <c r="M89" s="3" t="s">
        <v>2042</v>
      </c>
      <c r="N89" s="3" t="s">
        <v>28</v>
      </c>
      <c r="O89" s="3">
        <v>0</v>
      </c>
      <c r="P89" s="3">
        <v>0</v>
      </c>
      <c r="Q89" s="24">
        <v>9000</v>
      </c>
      <c r="R89" s="3">
        <f t="shared" si="1"/>
        <v>0</v>
      </c>
    </row>
    <row r="90" spans="1:18" x14ac:dyDescent="0.3">
      <c r="A90" s="3" t="s">
        <v>281</v>
      </c>
      <c r="B90" s="4" t="s">
        <v>2321</v>
      </c>
      <c r="C90" s="19" t="s">
        <v>2320</v>
      </c>
      <c r="D90" s="19" t="s">
        <v>2319</v>
      </c>
      <c r="E90" s="3" t="s">
        <v>33</v>
      </c>
      <c r="F90" s="3"/>
      <c r="G90" s="3"/>
      <c r="H90" s="3" t="s">
        <v>3151</v>
      </c>
      <c r="I90" s="3" t="s">
        <v>2131</v>
      </c>
      <c r="J90" s="3">
        <v>1</v>
      </c>
      <c r="K90" s="3">
        <v>211</v>
      </c>
      <c r="L90" s="4">
        <v>425</v>
      </c>
      <c r="M90" s="3" t="s">
        <v>2071</v>
      </c>
      <c r="N90" s="3" t="s">
        <v>30</v>
      </c>
      <c r="O90" s="3">
        <v>51.61</v>
      </c>
      <c r="P90" s="3" t="s">
        <v>2322</v>
      </c>
      <c r="Q90" s="24" t="str">
        <f>_xlfn.XLOOKUP(C90,[1]DailyCommercialOfferData!$A$2:$A$164,[1]DailyCommercialOfferData!$C$2:$C$164,0)</f>
        <v>51.59</v>
      </c>
      <c r="R90" s="3">
        <f t="shared" si="1"/>
        <v>51.61</v>
      </c>
    </row>
    <row r="91" spans="1:18" x14ac:dyDescent="0.3">
      <c r="A91" s="3" t="s">
        <v>281</v>
      </c>
      <c r="B91" s="4" t="s">
        <v>2324</v>
      </c>
      <c r="C91" s="19" t="s">
        <v>2323</v>
      </c>
      <c r="D91" s="19" t="s">
        <v>2319</v>
      </c>
      <c r="E91" s="3" t="s">
        <v>33</v>
      </c>
      <c r="F91" s="3"/>
      <c r="G91" s="3"/>
      <c r="H91" s="3" t="s">
        <v>3151</v>
      </c>
      <c r="I91" s="3" t="s">
        <v>2325</v>
      </c>
      <c r="J91" s="3">
        <v>1</v>
      </c>
      <c r="K91" s="3">
        <v>8</v>
      </c>
      <c r="L91" s="4">
        <v>53</v>
      </c>
      <c r="M91" s="3" t="s">
        <v>2132</v>
      </c>
      <c r="N91" s="3" t="s">
        <v>30</v>
      </c>
      <c r="O91" s="3">
        <v>206.04</v>
      </c>
      <c r="P91" s="3" t="s">
        <v>2326</v>
      </c>
      <c r="Q91" s="24" t="str">
        <f>_xlfn.XLOOKUP(C91,[1]DailyCommercialOfferData!$A$2:$A$164,[1]DailyCommercialOfferData!$C$2:$C$164,0)</f>
        <v>206.04</v>
      </c>
      <c r="R91" s="3">
        <f t="shared" si="1"/>
        <v>206.04</v>
      </c>
    </row>
    <row r="92" spans="1:18" x14ac:dyDescent="0.3">
      <c r="A92" s="3" t="s">
        <v>229</v>
      </c>
      <c r="B92" s="4" t="s">
        <v>2329</v>
      </c>
      <c r="C92" s="19" t="s">
        <v>2328</v>
      </c>
      <c r="D92" s="19" t="s">
        <v>2327</v>
      </c>
      <c r="E92" s="3" t="s">
        <v>3167</v>
      </c>
      <c r="F92" s="3"/>
      <c r="G92" s="3"/>
      <c r="H92" s="3" t="s">
        <v>3140</v>
      </c>
      <c r="I92" s="3" t="s">
        <v>2037</v>
      </c>
      <c r="J92" s="3">
        <v>1</v>
      </c>
      <c r="K92" s="3">
        <v>0</v>
      </c>
      <c r="L92" s="4">
        <v>42.5</v>
      </c>
      <c r="M92" s="3" t="s">
        <v>2042</v>
      </c>
      <c r="N92" s="3" t="s">
        <v>28</v>
      </c>
      <c r="O92" s="3">
        <v>0</v>
      </c>
      <c r="P92" s="3">
        <v>0</v>
      </c>
      <c r="Q92" s="24">
        <v>9000</v>
      </c>
      <c r="R92" s="3">
        <f t="shared" si="1"/>
        <v>0</v>
      </c>
    </row>
    <row r="93" spans="1:18" x14ac:dyDescent="0.3">
      <c r="A93" s="3" t="s">
        <v>229</v>
      </c>
      <c r="B93" s="4" t="s">
        <v>2332</v>
      </c>
      <c r="C93" s="19" t="s">
        <v>2331</v>
      </c>
      <c r="D93" s="19" t="s">
        <v>2330</v>
      </c>
      <c r="E93" s="3" t="s">
        <v>3167</v>
      </c>
      <c r="F93" s="3"/>
      <c r="G93" s="3"/>
      <c r="H93" s="3" t="s">
        <v>3140</v>
      </c>
      <c r="I93" s="3" t="s">
        <v>2037</v>
      </c>
      <c r="J93" s="3">
        <v>1</v>
      </c>
      <c r="K93" s="3">
        <v>0</v>
      </c>
      <c r="L93" s="4">
        <v>8.5</v>
      </c>
      <c r="M93" s="3" t="s">
        <v>2042</v>
      </c>
      <c r="N93" s="3" t="s">
        <v>28</v>
      </c>
      <c r="O93" s="3">
        <v>0</v>
      </c>
      <c r="P93" s="3">
        <v>0</v>
      </c>
      <c r="Q93" s="24">
        <v>9000</v>
      </c>
      <c r="R93" s="3">
        <f t="shared" si="1"/>
        <v>0</v>
      </c>
    </row>
    <row r="94" spans="1:18" x14ac:dyDescent="0.3">
      <c r="A94" s="3" t="s">
        <v>229</v>
      </c>
      <c r="B94" s="4" t="s">
        <v>2335</v>
      </c>
      <c r="C94" s="19" t="s">
        <v>2334</v>
      </c>
      <c r="D94" s="19" t="s">
        <v>2333</v>
      </c>
      <c r="E94" s="3" t="s">
        <v>3167</v>
      </c>
      <c r="F94" s="3"/>
      <c r="G94" s="3"/>
      <c r="H94" s="3" t="s">
        <v>3140</v>
      </c>
      <c r="I94" s="3" t="s">
        <v>2037</v>
      </c>
      <c r="J94" s="3">
        <v>1</v>
      </c>
      <c r="K94" s="3">
        <v>0</v>
      </c>
      <c r="L94" s="4">
        <v>30</v>
      </c>
      <c r="M94" s="3" t="s">
        <v>2042</v>
      </c>
      <c r="N94" s="3" t="s">
        <v>28</v>
      </c>
      <c r="O94" s="3">
        <v>0</v>
      </c>
      <c r="P94" s="3">
        <v>0</v>
      </c>
      <c r="Q94" s="24">
        <v>9000</v>
      </c>
      <c r="R94" s="3">
        <f t="shared" si="1"/>
        <v>0</v>
      </c>
    </row>
    <row r="95" spans="1:18" x14ac:dyDescent="0.3">
      <c r="A95" s="3" t="s">
        <v>304</v>
      </c>
      <c r="B95" s="4" t="s">
        <v>2338</v>
      </c>
      <c r="C95" s="19" t="s">
        <v>2337</v>
      </c>
      <c r="D95" s="19" t="s">
        <v>2336</v>
      </c>
      <c r="E95" s="3" t="s">
        <v>3167</v>
      </c>
      <c r="F95" s="3"/>
      <c r="G95" s="3"/>
      <c r="H95" s="3" t="s">
        <v>3140</v>
      </c>
      <c r="I95" s="3" t="s">
        <v>2037</v>
      </c>
      <c r="J95" s="3">
        <v>1</v>
      </c>
      <c r="K95" s="3">
        <v>0</v>
      </c>
      <c r="L95" s="4">
        <v>42.64</v>
      </c>
      <c r="M95" s="3" t="s">
        <v>2042</v>
      </c>
      <c r="N95" s="3" t="s">
        <v>28</v>
      </c>
      <c r="O95" s="3">
        <v>0</v>
      </c>
      <c r="P95" s="3">
        <v>0</v>
      </c>
      <c r="Q95" s="24">
        <v>9000</v>
      </c>
      <c r="R95" s="3">
        <f t="shared" si="1"/>
        <v>0</v>
      </c>
    </row>
    <row r="96" spans="1:18" x14ac:dyDescent="0.3">
      <c r="A96" s="3" t="s">
        <v>304</v>
      </c>
      <c r="B96" s="4" t="s">
        <v>2341</v>
      </c>
      <c r="C96" s="19" t="s">
        <v>2340</v>
      </c>
      <c r="D96" s="19" t="s">
        <v>2339</v>
      </c>
      <c r="E96" s="3" t="s">
        <v>3167</v>
      </c>
      <c r="F96" s="3"/>
      <c r="G96" s="3"/>
      <c r="H96" s="3" t="s">
        <v>3140</v>
      </c>
      <c r="I96" s="3" t="s">
        <v>2037</v>
      </c>
      <c r="J96" s="3">
        <v>1</v>
      </c>
      <c r="K96" s="3">
        <v>0</v>
      </c>
      <c r="L96" s="4">
        <v>114.2</v>
      </c>
      <c r="M96" s="3" t="s">
        <v>2042</v>
      </c>
      <c r="N96" s="3" t="s">
        <v>28</v>
      </c>
      <c r="O96" s="3">
        <v>0</v>
      </c>
      <c r="P96" s="3">
        <v>0</v>
      </c>
      <c r="Q96" s="24">
        <v>9000</v>
      </c>
      <c r="R96" s="3">
        <f t="shared" si="1"/>
        <v>0</v>
      </c>
    </row>
    <row r="97" spans="1:18" x14ac:dyDescent="0.3">
      <c r="A97" s="3" t="s">
        <v>212</v>
      </c>
      <c r="B97" s="4" t="s">
        <v>2344</v>
      </c>
      <c r="C97" s="19" t="s">
        <v>2343</v>
      </c>
      <c r="D97" s="19" t="s">
        <v>2342</v>
      </c>
      <c r="E97" s="3" t="s">
        <v>3167</v>
      </c>
      <c r="F97" s="3"/>
      <c r="G97" s="3"/>
      <c r="H97" s="3" t="s">
        <v>3140</v>
      </c>
      <c r="I97" s="3" t="s">
        <v>2037</v>
      </c>
      <c r="J97" s="3">
        <v>1</v>
      </c>
      <c r="K97" s="3">
        <v>0</v>
      </c>
      <c r="L97" s="4">
        <v>36</v>
      </c>
      <c r="M97" s="3" t="s">
        <v>2042</v>
      </c>
      <c r="N97" s="3" t="s">
        <v>28</v>
      </c>
      <c r="O97" s="3">
        <v>0</v>
      </c>
      <c r="P97" s="3">
        <v>0</v>
      </c>
      <c r="Q97" s="24">
        <v>9000</v>
      </c>
      <c r="R97" s="3">
        <f t="shared" si="1"/>
        <v>0</v>
      </c>
    </row>
    <row r="98" spans="1:18" x14ac:dyDescent="0.3">
      <c r="A98" s="3" t="s">
        <v>212</v>
      </c>
      <c r="B98" s="4" t="s">
        <v>2347</v>
      </c>
      <c r="C98" s="19" t="s">
        <v>2346</v>
      </c>
      <c r="D98" s="19" t="s">
        <v>2345</v>
      </c>
      <c r="E98" s="3" t="s">
        <v>3167</v>
      </c>
      <c r="F98" s="3"/>
      <c r="G98" s="3"/>
      <c r="H98" s="3" t="s">
        <v>3140</v>
      </c>
      <c r="I98" s="3" t="s">
        <v>2037</v>
      </c>
      <c r="J98" s="3">
        <v>1</v>
      </c>
      <c r="K98" s="3">
        <v>0</v>
      </c>
      <c r="L98" s="4">
        <v>54</v>
      </c>
      <c r="M98" s="3" t="s">
        <v>2042</v>
      </c>
      <c r="N98" s="3" t="s">
        <v>28</v>
      </c>
      <c r="O98" s="3">
        <v>0</v>
      </c>
      <c r="P98" s="3">
        <v>0</v>
      </c>
      <c r="Q98" s="24">
        <v>9000</v>
      </c>
      <c r="R98" s="3">
        <f t="shared" si="1"/>
        <v>0</v>
      </c>
    </row>
    <row r="99" spans="1:18" x14ac:dyDescent="0.3">
      <c r="A99" s="3" t="s">
        <v>212</v>
      </c>
      <c r="B99" s="4" t="s">
        <v>2350</v>
      </c>
      <c r="C99" s="19" t="s">
        <v>2349</v>
      </c>
      <c r="D99" s="19" t="s">
        <v>2348</v>
      </c>
      <c r="E99" s="3" t="s">
        <v>3167</v>
      </c>
      <c r="F99" s="3"/>
      <c r="G99" s="3"/>
      <c r="H99" s="3" t="s">
        <v>3140</v>
      </c>
      <c r="I99" s="3" t="s">
        <v>2037</v>
      </c>
      <c r="J99" s="3">
        <v>1</v>
      </c>
      <c r="K99" s="3">
        <v>0</v>
      </c>
      <c r="L99" s="4">
        <v>17.5</v>
      </c>
      <c r="M99" s="3" t="s">
        <v>2042</v>
      </c>
      <c r="N99" s="3" t="s">
        <v>28</v>
      </c>
      <c r="O99" s="3">
        <v>0</v>
      </c>
      <c r="P99" s="3">
        <v>0</v>
      </c>
      <c r="Q99" s="24">
        <v>9000</v>
      </c>
      <c r="R99" s="3">
        <f t="shared" si="1"/>
        <v>0</v>
      </c>
    </row>
    <row r="100" spans="1:18" x14ac:dyDescent="0.3">
      <c r="A100" s="3" t="s">
        <v>212</v>
      </c>
      <c r="B100" s="4" t="s">
        <v>2353</v>
      </c>
      <c r="C100" s="19" t="s">
        <v>2352</v>
      </c>
      <c r="D100" s="19" t="s">
        <v>2351</v>
      </c>
      <c r="E100" s="3" t="s">
        <v>3167</v>
      </c>
      <c r="F100" s="3"/>
      <c r="G100" s="3"/>
      <c r="H100" s="3" t="s">
        <v>3140</v>
      </c>
      <c r="I100" s="3" t="s">
        <v>2037</v>
      </c>
      <c r="J100" s="3">
        <v>1</v>
      </c>
      <c r="K100" s="3">
        <v>0</v>
      </c>
      <c r="L100" s="4">
        <v>34.5</v>
      </c>
      <c r="M100" s="3" t="s">
        <v>2042</v>
      </c>
      <c r="N100" s="3" t="s">
        <v>28</v>
      </c>
      <c r="O100" s="3">
        <v>0</v>
      </c>
      <c r="P100" s="3">
        <v>0</v>
      </c>
      <c r="Q100" s="24">
        <v>9000</v>
      </c>
      <c r="R100" s="3">
        <f t="shared" si="1"/>
        <v>0</v>
      </c>
    </row>
    <row r="101" spans="1:18" x14ac:dyDescent="0.3">
      <c r="A101" s="3" t="s">
        <v>212</v>
      </c>
      <c r="B101" s="4" t="s">
        <v>2356</v>
      </c>
      <c r="C101" s="19" t="s">
        <v>2355</v>
      </c>
      <c r="D101" s="19" t="s">
        <v>2354</v>
      </c>
      <c r="E101" s="3" t="s">
        <v>3167</v>
      </c>
      <c r="F101" s="3"/>
      <c r="G101" s="3"/>
      <c r="H101" s="3" t="s">
        <v>3140</v>
      </c>
      <c r="I101" s="3" t="s">
        <v>2037</v>
      </c>
      <c r="J101" s="3">
        <v>1</v>
      </c>
      <c r="K101" s="3">
        <v>0</v>
      </c>
      <c r="L101" s="4">
        <v>4.8</v>
      </c>
      <c r="M101" s="3" t="s">
        <v>2042</v>
      </c>
      <c r="N101" s="3" t="s">
        <v>28</v>
      </c>
      <c r="O101" s="3">
        <v>0</v>
      </c>
      <c r="P101" s="3">
        <v>0</v>
      </c>
      <c r="Q101" s="24">
        <v>9000</v>
      </c>
      <c r="R101" s="3">
        <f t="shared" si="1"/>
        <v>0</v>
      </c>
    </row>
    <row r="102" spans="1:18" x14ac:dyDescent="0.3">
      <c r="A102" s="3" t="s">
        <v>220</v>
      </c>
      <c r="B102" s="4" t="s">
        <v>2359</v>
      </c>
      <c r="C102" s="19" t="s">
        <v>2358</v>
      </c>
      <c r="D102" s="19" t="s">
        <v>2357</v>
      </c>
      <c r="E102" s="3" t="s">
        <v>3167</v>
      </c>
      <c r="F102" s="3"/>
      <c r="G102" s="3"/>
      <c r="H102" s="3" t="s">
        <v>3152</v>
      </c>
      <c r="I102" s="3" t="s">
        <v>2037</v>
      </c>
      <c r="J102" s="3">
        <v>1</v>
      </c>
      <c r="K102" s="3">
        <v>0</v>
      </c>
      <c r="L102" s="4">
        <v>10.3</v>
      </c>
      <c r="M102" s="3" t="s">
        <v>2042</v>
      </c>
      <c r="N102" s="3" t="s">
        <v>28</v>
      </c>
      <c r="O102" s="3">
        <v>0</v>
      </c>
      <c r="P102" s="3">
        <v>0</v>
      </c>
      <c r="Q102" s="24">
        <v>9000</v>
      </c>
      <c r="R102" s="3">
        <f t="shared" si="1"/>
        <v>0</v>
      </c>
    </row>
    <row r="103" spans="1:18" x14ac:dyDescent="0.3">
      <c r="A103" s="3" t="s">
        <v>220</v>
      </c>
      <c r="B103" s="4" t="s">
        <v>2362</v>
      </c>
      <c r="C103" s="19" t="s">
        <v>2361</v>
      </c>
      <c r="D103" s="19" t="s">
        <v>2360</v>
      </c>
      <c r="E103" s="3" t="s">
        <v>3167</v>
      </c>
      <c r="F103" s="3"/>
      <c r="G103" s="3"/>
      <c r="H103" s="3" t="s">
        <v>3152</v>
      </c>
      <c r="I103" s="3" t="s">
        <v>2037</v>
      </c>
      <c r="J103" s="3">
        <v>1</v>
      </c>
      <c r="K103" s="3">
        <v>0</v>
      </c>
      <c r="L103" s="4">
        <v>13.58</v>
      </c>
      <c r="M103" s="3" t="s">
        <v>2042</v>
      </c>
      <c r="N103" s="3" t="s">
        <v>28</v>
      </c>
      <c r="O103" s="3">
        <v>0</v>
      </c>
      <c r="P103" s="3">
        <v>0</v>
      </c>
      <c r="Q103" s="24">
        <v>9000</v>
      </c>
      <c r="R103" s="3">
        <f t="shared" si="1"/>
        <v>0</v>
      </c>
    </row>
    <row r="104" spans="1:18" x14ac:dyDescent="0.3">
      <c r="A104" s="3" t="s">
        <v>216</v>
      </c>
      <c r="B104" s="4" t="s">
        <v>2365</v>
      </c>
      <c r="C104" s="19" t="s">
        <v>2364</v>
      </c>
      <c r="D104" s="19" t="s">
        <v>2363</v>
      </c>
      <c r="E104" s="3" t="s">
        <v>33</v>
      </c>
      <c r="F104" s="3"/>
      <c r="G104" s="3"/>
      <c r="H104" s="3" t="s">
        <v>3135</v>
      </c>
      <c r="I104" s="3" t="s">
        <v>2366</v>
      </c>
      <c r="J104" s="3">
        <v>1</v>
      </c>
      <c r="K104" s="3">
        <v>22.5</v>
      </c>
      <c r="L104" s="4">
        <v>63.5</v>
      </c>
      <c r="M104" s="3" t="s">
        <v>2071</v>
      </c>
      <c r="N104" s="3" t="s">
        <v>30</v>
      </c>
      <c r="O104" s="3">
        <v>112.87</v>
      </c>
      <c r="P104" s="3" t="s">
        <v>2367</v>
      </c>
      <c r="Q104" s="24" t="str">
        <f>_xlfn.XLOOKUP(C104,[1]DailyCommercialOfferData!$A$2:$A$164,[1]DailyCommercialOfferData!$C$2:$C$164,0)</f>
        <v>111.57</v>
      </c>
      <c r="R104" s="3">
        <f t="shared" si="1"/>
        <v>112.87</v>
      </c>
    </row>
    <row r="105" spans="1:18" x14ac:dyDescent="0.3">
      <c r="A105" s="3" t="s">
        <v>313</v>
      </c>
      <c r="B105" s="4" t="s">
        <v>2370</v>
      </c>
      <c r="C105" s="19" t="s">
        <v>2369</v>
      </c>
      <c r="D105" s="19" t="s">
        <v>2368</v>
      </c>
      <c r="E105" s="3" t="s">
        <v>3167</v>
      </c>
      <c r="F105" s="3"/>
      <c r="G105" s="3"/>
      <c r="H105" s="3" t="s">
        <v>3153</v>
      </c>
      <c r="I105" s="3" t="s">
        <v>2037</v>
      </c>
      <c r="J105" s="3">
        <v>1</v>
      </c>
      <c r="K105" s="3">
        <v>0</v>
      </c>
      <c r="L105" s="4">
        <v>11.05</v>
      </c>
      <c r="M105" s="3" t="s">
        <v>2042</v>
      </c>
      <c r="N105" s="3" t="s">
        <v>28</v>
      </c>
      <c r="O105" s="3">
        <v>0</v>
      </c>
      <c r="P105" s="3">
        <v>0</v>
      </c>
      <c r="Q105" s="24">
        <v>9000</v>
      </c>
      <c r="R105" s="3">
        <f t="shared" si="1"/>
        <v>0</v>
      </c>
    </row>
    <row r="106" spans="1:18" x14ac:dyDescent="0.3">
      <c r="A106" s="3" t="s">
        <v>313</v>
      </c>
      <c r="B106" s="4" t="s">
        <v>2373</v>
      </c>
      <c r="C106" s="19" t="s">
        <v>2372</v>
      </c>
      <c r="D106" s="19" t="s">
        <v>2371</v>
      </c>
      <c r="E106" s="3" t="s">
        <v>3167</v>
      </c>
      <c r="F106" s="3"/>
      <c r="G106" s="3"/>
      <c r="H106" s="3" t="s">
        <v>3153</v>
      </c>
      <c r="I106" s="3" t="s">
        <v>2037</v>
      </c>
      <c r="J106" s="3">
        <v>1</v>
      </c>
      <c r="K106" s="3">
        <v>0</v>
      </c>
      <c r="L106" s="4">
        <v>25</v>
      </c>
      <c r="M106" s="3" t="s">
        <v>2042</v>
      </c>
      <c r="N106" s="3" t="s">
        <v>28</v>
      </c>
      <c r="O106" s="3">
        <v>0</v>
      </c>
      <c r="P106" s="3">
        <v>0</v>
      </c>
      <c r="Q106" s="24">
        <v>9000</v>
      </c>
      <c r="R106" s="3">
        <f t="shared" si="1"/>
        <v>0</v>
      </c>
    </row>
    <row r="107" spans="1:18" x14ac:dyDescent="0.3">
      <c r="A107" s="3" t="s">
        <v>317</v>
      </c>
      <c r="B107" s="4" t="s">
        <v>2376</v>
      </c>
      <c r="C107" s="19" t="s">
        <v>2375</v>
      </c>
      <c r="D107" s="19" t="s">
        <v>2374</v>
      </c>
      <c r="E107" s="3" t="s">
        <v>33</v>
      </c>
      <c r="F107" s="3"/>
      <c r="G107" s="3"/>
      <c r="H107" s="3" t="s">
        <v>3135</v>
      </c>
      <c r="I107" s="3" t="s">
        <v>2037</v>
      </c>
      <c r="J107" s="3">
        <v>1</v>
      </c>
      <c r="K107" s="3">
        <v>41.15</v>
      </c>
      <c r="L107" s="4">
        <v>118</v>
      </c>
      <c r="M107" s="3" t="s">
        <v>2377</v>
      </c>
      <c r="N107" s="3" t="s">
        <v>30</v>
      </c>
      <c r="O107" s="3">
        <v>18.53</v>
      </c>
      <c r="P107" s="3" t="s">
        <v>2378</v>
      </c>
      <c r="Q107" s="24">
        <v>7000</v>
      </c>
      <c r="R107" s="3">
        <f t="shared" si="1"/>
        <v>18.53</v>
      </c>
    </row>
    <row r="108" spans="1:18" x14ac:dyDescent="0.3">
      <c r="A108" s="3" t="s">
        <v>317</v>
      </c>
      <c r="B108" s="4" t="s">
        <v>2381</v>
      </c>
      <c r="C108" s="19" t="s">
        <v>2380</v>
      </c>
      <c r="D108" s="19" t="s">
        <v>2379</v>
      </c>
      <c r="E108" s="3" t="s">
        <v>33</v>
      </c>
      <c r="F108" s="3"/>
      <c r="G108" s="3"/>
      <c r="H108" s="3" t="s">
        <v>3135</v>
      </c>
      <c r="I108" s="3" t="s">
        <v>2366</v>
      </c>
      <c r="J108" s="3">
        <v>1</v>
      </c>
      <c r="K108" s="3">
        <v>20</v>
      </c>
      <c r="L108" s="4">
        <v>58</v>
      </c>
      <c r="M108" s="3" t="s">
        <v>2132</v>
      </c>
      <c r="N108" s="3" t="s">
        <v>30</v>
      </c>
      <c r="O108" s="3">
        <v>506.96</v>
      </c>
      <c r="P108" s="3" t="s">
        <v>2382</v>
      </c>
      <c r="Q108" s="24" t="str">
        <f>_xlfn.XLOOKUP(C108,[1]DailyCommercialOfferData!$A$2:$A$164,[1]DailyCommercialOfferData!$C$2:$C$164,0)</f>
        <v>506.96</v>
      </c>
      <c r="R108" s="3">
        <f t="shared" si="1"/>
        <v>506.96</v>
      </c>
    </row>
    <row r="109" spans="1:18" x14ac:dyDescent="0.3">
      <c r="A109" s="3" t="s">
        <v>317</v>
      </c>
      <c r="B109" s="4" t="s">
        <v>2385</v>
      </c>
      <c r="C109" s="19" t="s">
        <v>2384</v>
      </c>
      <c r="D109" s="19" t="s">
        <v>2383</v>
      </c>
      <c r="E109" s="3" t="s">
        <v>33</v>
      </c>
      <c r="F109" s="3"/>
      <c r="G109" s="3"/>
      <c r="H109" s="3" t="s">
        <v>3135</v>
      </c>
      <c r="I109" s="3" t="s">
        <v>2366</v>
      </c>
      <c r="J109" s="3">
        <v>1</v>
      </c>
      <c r="K109" s="3">
        <v>20</v>
      </c>
      <c r="L109" s="4">
        <v>58</v>
      </c>
      <c r="M109" s="3" t="s">
        <v>2132</v>
      </c>
      <c r="N109" s="3" t="s">
        <v>30</v>
      </c>
      <c r="O109" s="3">
        <v>506.95</v>
      </c>
      <c r="P109" s="3" t="s">
        <v>2382</v>
      </c>
      <c r="Q109" s="24" t="str">
        <f>_xlfn.XLOOKUP(C109,[1]DailyCommercialOfferData!$A$2:$A$164,[1]DailyCommercialOfferData!$C$2:$C$164,0)</f>
        <v>506.95</v>
      </c>
      <c r="R109" s="3">
        <f t="shared" si="1"/>
        <v>506.95</v>
      </c>
    </row>
    <row r="110" spans="1:18" x14ac:dyDescent="0.3">
      <c r="A110" s="3" t="s">
        <v>338</v>
      </c>
      <c r="B110" s="4" t="s">
        <v>2388</v>
      </c>
      <c r="C110" s="19" t="s">
        <v>2387</v>
      </c>
      <c r="D110" s="19" t="s">
        <v>2386</v>
      </c>
      <c r="E110" s="3" t="s">
        <v>3167</v>
      </c>
      <c r="F110" s="3"/>
      <c r="G110" s="3"/>
      <c r="H110" s="3" t="s">
        <v>3146</v>
      </c>
      <c r="I110" s="3" t="s">
        <v>2037</v>
      </c>
      <c r="J110" s="3">
        <v>1</v>
      </c>
      <c r="K110" s="3">
        <v>0</v>
      </c>
      <c r="L110" s="4">
        <v>40.799999999999997</v>
      </c>
      <c r="M110" s="3" t="s">
        <v>2042</v>
      </c>
      <c r="N110" s="3" t="s">
        <v>28</v>
      </c>
      <c r="O110" s="3">
        <v>0</v>
      </c>
      <c r="P110" s="3">
        <v>0</v>
      </c>
      <c r="Q110" s="24">
        <v>9000</v>
      </c>
      <c r="R110" s="3">
        <f t="shared" si="1"/>
        <v>0</v>
      </c>
    </row>
    <row r="111" spans="1:18" x14ac:dyDescent="0.3">
      <c r="A111" s="3" t="s">
        <v>327</v>
      </c>
      <c r="B111" s="4" t="s">
        <v>2391</v>
      </c>
      <c r="C111" s="19" t="s">
        <v>2390</v>
      </c>
      <c r="D111" s="19" t="s">
        <v>2389</v>
      </c>
      <c r="E111" s="3" t="s">
        <v>3167</v>
      </c>
      <c r="F111" s="3"/>
      <c r="G111" s="3"/>
      <c r="H111" s="3" t="s">
        <v>3135</v>
      </c>
      <c r="I111" s="3" t="s">
        <v>2037</v>
      </c>
      <c r="J111" s="3">
        <v>1</v>
      </c>
      <c r="K111" s="3">
        <v>0</v>
      </c>
      <c r="L111" s="4">
        <v>85</v>
      </c>
      <c r="M111" s="3" t="s">
        <v>2160</v>
      </c>
      <c r="N111" s="3" t="s">
        <v>28</v>
      </c>
      <c r="O111" s="3">
        <v>0</v>
      </c>
      <c r="P111" s="3">
        <v>0</v>
      </c>
      <c r="Q111" s="24">
        <v>9000</v>
      </c>
      <c r="R111" s="3">
        <f t="shared" si="1"/>
        <v>0</v>
      </c>
    </row>
    <row r="112" spans="1:18" x14ac:dyDescent="0.3">
      <c r="A112" s="3" t="s">
        <v>370</v>
      </c>
      <c r="B112" s="4" t="s">
        <v>2394</v>
      </c>
      <c r="C112" s="19" t="s">
        <v>2393</v>
      </c>
      <c r="D112" s="19" t="s">
        <v>2392</v>
      </c>
      <c r="E112" s="3" t="s">
        <v>3167</v>
      </c>
      <c r="F112" s="3"/>
      <c r="G112" s="3"/>
      <c r="H112" s="3" t="s">
        <v>3138</v>
      </c>
      <c r="I112" s="3" t="s">
        <v>2037</v>
      </c>
      <c r="J112" s="3">
        <v>1</v>
      </c>
      <c r="K112" s="3">
        <v>0</v>
      </c>
      <c r="L112" s="4">
        <v>59.5</v>
      </c>
      <c r="M112" s="3" t="s">
        <v>2042</v>
      </c>
      <c r="N112" s="3" t="s">
        <v>28</v>
      </c>
      <c r="O112" s="3">
        <v>0</v>
      </c>
      <c r="P112" s="3">
        <v>0</v>
      </c>
      <c r="Q112" s="24">
        <v>9000</v>
      </c>
      <c r="R112" s="3">
        <f t="shared" si="1"/>
        <v>0</v>
      </c>
    </row>
    <row r="113" spans="1:18" x14ac:dyDescent="0.3">
      <c r="A113" s="3" t="s">
        <v>330</v>
      </c>
      <c r="B113" s="4" t="s">
        <v>2397</v>
      </c>
      <c r="C113" s="19" t="s">
        <v>2396</v>
      </c>
      <c r="D113" s="19" t="s">
        <v>2395</v>
      </c>
      <c r="E113" s="3" t="s">
        <v>33</v>
      </c>
      <c r="F113" s="3"/>
      <c r="G113" s="3"/>
      <c r="H113" s="3" t="s">
        <v>3135</v>
      </c>
      <c r="I113" s="3" t="s">
        <v>2037</v>
      </c>
      <c r="J113" s="23">
        <v>0</v>
      </c>
      <c r="K113" s="3">
        <v>0</v>
      </c>
      <c r="L113" s="4">
        <v>50</v>
      </c>
      <c r="M113" s="3" t="s">
        <v>2071</v>
      </c>
      <c r="N113" s="3" t="s">
        <v>30</v>
      </c>
      <c r="O113" s="3">
        <v>1150</v>
      </c>
      <c r="P113" s="3" t="s">
        <v>995</v>
      </c>
      <c r="Q113" s="24" t="str">
        <f>_xlfn.XLOOKUP(C113,[1]DailyCommercialOfferData!$A$2:$A$164,[1]DailyCommercialOfferData!$C$2:$C$164,0)</f>
        <v>0</v>
      </c>
      <c r="R113" s="3">
        <f t="shared" si="1"/>
        <v>1150</v>
      </c>
    </row>
    <row r="114" spans="1:18" x14ac:dyDescent="0.3">
      <c r="A114" s="3" t="s">
        <v>330</v>
      </c>
      <c r="B114" s="4" t="s">
        <v>2400</v>
      </c>
      <c r="C114" s="19" t="s">
        <v>2399</v>
      </c>
      <c r="D114" s="19" t="s">
        <v>2398</v>
      </c>
      <c r="E114" s="3" t="s">
        <v>33</v>
      </c>
      <c r="F114" s="3"/>
      <c r="G114" s="3"/>
      <c r="H114" s="3" t="s">
        <v>3135</v>
      </c>
      <c r="I114" s="3" t="s">
        <v>2037</v>
      </c>
      <c r="J114" s="23">
        <v>0</v>
      </c>
      <c r="K114" s="3">
        <v>0</v>
      </c>
      <c r="L114" s="4">
        <v>50</v>
      </c>
      <c r="M114" s="3" t="s">
        <v>2071</v>
      </c>
      <c r="N114" s="3" t="s">
        <v>30</v>
      </c>
      <c r="O114" s="3">
        <v>1150</v>
      </c>
      <c r="P114" s="3" t="s">
        <v>995</v>
      </c>
      <c r="Q114" s="24" t="str">
        <f>_xlfn.XLOOKUP(C114,[1]DailyCommercialOfferData!$A$2:$A$164,[1]DailyCommercialOfferData!$C$2:$C$164,0)</f>
        <v>0</v>
      </c>
      <c r="R114" s="3">
        <f t="shared" si="1"/>
        <v>1150</v>
      </c>
    </row>
    <row r="115" spans="1:18" x14ac:dyDescent="0.3">
      <c r="A115" s="3" t="s">
        <v>330</v>
      </c>
      <c r="B115" s="4" t="s">
        <v>2403</v>
      </c>
      <c r="C115" s="19" t="s">
        <v>2402</v>
      </c>
      <c r="D115" s="19" t="s">
        <v>2401</v>
      </c>
      <c r="E115" s="3" t="s">
        <v>3167</v>
      </c>
      <c r="F115" s="3"/>
      <c r="G115" s="3"/>
      <c r="H115" s="3" t="s">
        <v>3135</v>
      </c>
      <c r="I115" s="3" t="s">
        <v>2037</v>
      </c>
      <c r="J115" s="3">
        <v>1</v>
      </c>
      <c r="K115" s="3">
        <v>0</v>
      </c>
      <c r="L115" s="4">
        <v>34</v>
      </c>
      <c r="M115" s="3" t="s">
        <v>2042</v>
      </c>
      <c r="N115" s="3" t="s">
        <v>28</v>
      </c>
      <c r="O115" s="3">
        <v>0</v>
      </c>
      <c r="P115" s="3">
        <v>0</v>
      </c>
      <c r="Q115" s="24">
        <v>9000</v>
      </c>
      <c r="R115" s="3">
        <f t="shared" si="1"/>
        <v>0</v>
      </c>
    </row>
    <row r="116" spans="1:18" x14ac:dyDescent="0.3">
      <c r="A116" s="3" t="s">
        <v>328</v>
      </c>
      <c r="B116" s="4" t="s">
        <v>2406</v>
      </c>
      <c r="C116" s="19" t="s">
        <v>2405</v>
      </c>
      <c r="D116" s="19" t="s">
        <v>2404</v>
      </c>
      <c r="E116" s="3" t="s">
        <v>33</v>
      </c>
      <c r="F116" s="3"/>
      <c r="G116" s="3"/>
      <c r="H116" s="3" t="s">
        <v>3135</v>
      </c>
      <c r="I116" s="3" t="s">
        <v>2366</v>
      </c>
      <c r="J116" s="3">
        <v>1</v>
      </c>
      <c r="K116" s="3">
        <v>5</v>
      </c>
      <c r="L116" s="4">
        <v>52</v>
      </c>
      <c r="M116" s="3" t="s">
        <v>2132</v>
      </c>
      <c r="N116" s="3" t="s">
        <v>30</v>
      </c>
      <c r="O116" s="3">
        <v>207.38</v>
      </c>
      <c r="P116" s="3" t="s">
        <v>2407</v>
      </c>
      <c r="Q116" s="24" t="str">
        <f>_xlfn.XLOOKUP(C116,[1]DailyCommercialOfferData!$A$2:$A$164,[1]DailyCommercialOfferData!$C$2:$C$164,0)</f>
        <v>190.97</v>
      </c>
      <c r="R116" s="3">
        <f t="shared" si="1"/>
        <v>207.38</v>
      </c>
    </row>
    <row r="117" spans="1:18" x14ac:dyDescent="0.3">
      <c r="A117" s="3" t="s">
        <v>328</v>
      </c>
      <c r="B117" s="4" t="s">
        <v>2410</v>
      </c>
      <c r="C117" s="19" t="s">
        <v>2409</v>
      </c>
      <c r="D117" s="19" t="s">
        <v>2408</v>
      </c>
      <c r="E117" s="3" t="s">
        <v>33</v>
      </c>
      <c r="F117" s="3"/>
      <c r="G117" s="3"/>
      <c r="H117" s="3" t="s">
        <v>3135</v>
      </c>
      <c r="I117" s="3" t="s">
        <v>2366</v>
      </c>
      <c r="J117" s="3">
        <v>1</v>
      </c>
      <c r="K117" s="3">
        <v>5</v>
      </c>
      <c r="L117" s="4">
        <v>52</v>
      </c>
      <c r="M117" s="3" t="s">
        <v>2132</v>
      </c>
      <c r="N117" s="3" t="s">
        <v>30</v>
      </c>
      <c r="O117" s="3">
        <v>207.38</v>
      </c>
      <c r="P117" s="3" t="s">
        <v>2407</v>
      </c>
      <c r="Q117" s="24" t="str">
        <f>_xlfn.XLOOKUP(C117,[1]DailyCommercialOfferData!$A$2:$A$164,[1]DailyCommercialOfferData!$C$2:$C$164,0)</f>
        <v>190.97</v>
      </c>
      <c r="R117" s="3">
        <f t="shared" si="1"/>
        <v>207.38</v>
      </c>
    </row>
    <row r="118" spans="1:18" x14ac:dyDescent="0.3">
      <c r="A118" s="3" t="s">
        <v>348</v>
      </c>
      <c r="B118" s="4" t="s">
        <v>2413</v>
      </c>
      <c r="C118" s="19" t="s">
        <v>2412</v>
      </c>
      <c r="D118" s="19" t="s">
        <v>2411</v>
      </c>
      <c r="E118" s="3" t="s">
        <v>3167</v>
      </c>
      <c r="F118" s="3"/>
      <c r="G118" s="3"/>
      <c r="H118" s="3" t="s">
        <v>3140</v>
      </c>
      <c r="I118" s="3" t="s">
        <v>2037</v>
      </c>
      <c r="J118" s="3">
        <v>1</v>
      </c>
      <c r="K118" s="3">
        <v>0</v>
      </c>
      <c r="L118" s="4">
        <v>28.5</v>
      </c>
      <c r="M118" s="3" t="s">
        <v>2042</v>
      </c>
      <c r="N118" s="3" t="s">
        <v>28</v>
      </c>
      <c r="O118" s="3">
        <v>0</v>
      </c>
      <c r="P118" s="3">
        <v>0</v>
      </c>
      <c r="Q118" s="24">
        <v>9000</v>
      </c>
      <c r="R118" s="3">
        <f t="shared" si="1"/>
        <v>0</v>
      </c>
    </row>
    <row r="119" spans="1:18" x14ac:dyDescent="0.3">
      <c r="A119" s="3" t="s">
        <v>351</v>
      </c>
      <c r="B119" s="4" t="s">
        <v>2416</v>
      </c>
      <c r="C119" s="19" t="s">
        <v>2415</v>
      </c>
      <c r="D119" s="19" t="s">
        <v>2414</v>
      </c>
      <c r="E119" s="3" t="s">
        <v>3167</v>
      </c>
      <c r="F119" s="3"/>
      <c r="G119" s="3"/>
      <c r="H119" s="3" t="s">
        <v>3154</v>
      </c>
      <c r="I119" s="3" t="s">
        <v>2037</v>
      </c>
      <c r="J119" s="3">
        <v>1</v>
      </c>
      <c r="K119" s="3">
        <v>0</v>
      </c>
      <c r="L119" s="4">
        <v>38.4</v>
      </c>
      <c r="M119" s="3" t="s">
        <v>2042</v>
      </c>
      <c r="N119" s="3" t="s">
        <v>28</v>
      </c>
      <c r="O119" s="3">
        <v>0</v>
      </c>
      <c r="P119" s="3">
        <v>0</v>
      </c>
      <c r="Q119" s="24">
        <v>9000</v>
      </c>
      <c r="R119" s="3">
        <f t="shared" si="1"/>
        <v>0</v>
      </c>
    </row>
    <row r="120" spans="1:18" x14ac:dyDescent="0.3">
      <c r="A120" s="3" t="s">
        <v>351</v>
      </c>
      <c r="B120" s="4" t="s">
        <v>2419</v>
      </c>
      <c r="C120" s="19" t="s">
        <v>2418</v>
      </c>
      <c r="D120" s="19" t="s">
        <v>2417</v>
      </c>
      <c r="E120" s="3" t="s">
        <v>3167</v>
      </c>
      <c r="F120" s="3"/>
      <c r="G120" s="3"/>
      <c r="H120" s="3" t="s">
        <v>3154</v>
      </c>
      <c r="I120" s="3" t="s">
        <v>2037</v>
      </c>
      <c r="J120" s="3">
        <v>1</v>
      </c>
      <c r="K120" s="3">
        <v>0</v>
      </c>
      <c r="L120" s="4">
        <v>25</v>
      </c>
      <c r="M120" s="3" t="s">
        <v>2042</v>
      </c>
      <c r="N120" s="3" t="s">
        <v>28</v>
      </c>
      <c r="O120" s="3">
        <v>0</v>
      </c>
      <c r="P120" s="3">
        <v>0</v>
      </c>
      <c r="Q120" s="24">
        <v>9000</v>
      </c>
      <c r="R120" s="3">
        <f t="shared" si="1"/>
        <v>0</v>
      </c>
    </row>
    <row r="121" spans="1:18" x14ac:dyDescent="0.3">
      <c r="A121" s="3" t="s">
        <v>358</v>
      </c>
      <c r="B121" s="4" t="s">
        <v>2422</v>
      </c>
      <c r="C121" s="19" t="s">
        <v>2421</v>
      </c>
      <c r="D121" s="19" t="s">
        <v>2420</v>
      </c>
      <c r="E121" s="3" t="s">
        <v>33</v>
      </c>
      <c r="F121" s="3"/>
      <c r="G121" s="3"/>
      <c r="H121" s="3" t="s">
        <v>3135</v>
      </c>
      <c r="I121" s="3" t="s">
        <v>2037</v>
      </c>
      <c r="J121" s="3">
        <v>1</v>
      </c>
      <c r="K121" s="3">
        <v>1</v>
      </c>
      <c r="L121" s="4">
        <v>17</v>
      </c>
      <c r="M121" s="3" t="s">
        <v>2071</v>
      </c>
      <c r="N121" s="3" t="s">
        <v>30</v>
      </c>
      <c r="O121" s="3">
        <v>-5.27</v>
      </c>
      <c r="P121" s="3" t="s">
        <v>995</v>
      </c>
      <c r="Q121" s="26">
        <v>0</v>
      </c>
      <c r="R121" s="25">
        <f>-Q121</f>
        <v>0</v>
      </c>
    </row>
    <row r="122" spans="1:18" x14ac:dyDescent="0.3">
      <c r="A122" s="3" t="s">
        <v>325</v>
      </c>
      <c r="B122" s="4" t="s">
        <v>2425</v>
      </c>
      <c r="C122" s="19" t="s">
        <v>2424</v>
      </c>
      <c r="D122" s="19" t="s">
        <v>2423</v>
      </c>
      <c r="E122" s="3" t="s">
        <v>3167</v>
      </c>
      <c r="F122" s="3"/>
      <c r="G122" s="3"/>
      <c r="H122" s="3" t="s">
        <v>3135</v>
      </c>
      <c r="I122" s="3" t="s">
        <v>2037</v>
      </c>
      <c r="J122" s="3">
        <v>1</v>
      </c>
      <c r="K122" s="3">
        <v>0</v>
      </c>
      <c r="L122" s="4">
        <v>16.100000000000001</v>
      </c>
      <c r="M122" s="3" t="s">
        <v>2042</v>
      </c>
      <c r="N122" s="3" t="s">
        <v>28</v>
      </c>
      <c r="O122" s="3">
        <v>0</v>
      </c>
      <c r="P122" s="3">
        <v>0</v>
      </c>
      <c r="Q122" s="24">
        <v>9000</v>
      </c>
      <c r="R122" s="3">
        <f t="shared" si="1"/>
        <v>0</v>
      </c>
    </row>
    <row r="123" spans="1:18" x14ac:dyDescent="0.3">
      <c r="A123" s="3" t="s">
        <v>333</v>
      </c>
      <c r="B123" s="4" t="s">
        <v>2428</v>
      </c>
      <c r="C123" s="19" t="s">
        <v>2427</v>
      </c>
      <c r="D123" s="19" t="s">
        <v>2426</v>
      </c>
      <c r="E123" s="3" t="s">
        <v>3167</v>
      </c>
      <c r="F123" s="3"/>
      <c r="G123" s="3"/>
      <c r="H123" s="3" t="s">
        <v>333</v>
      </c>
      <c r="I123" s="3" t="s">
        <v>2037</v>
      </c>
      <c r="J123" s="3">
        <v>1</v>
      </c>
      <c r="K123" s="3">
        <v>0</v>
      </c>
      <c r="L123" s="4">
        <v>14</v>
      </c>
      <c r="M123" s="3" t="s">
        <v>2160</v>
      </c>
      <c r="N123" s="3" t="s">
        <v>28</v>
      </c>
      <c r="O123" s="3">
        <v>0</v>
      </c>
      <c r="P123" s="3">
        <v>0</v>
      </c>
      <c r="Q123" s="24">
        <v>9000</v>
      </c>
      <c r="R123" s="3">
        <f t="shared" si="1"/>
        <v>0</v>
      </c>
    </row>
    <row r="124" spans="1:18" x14ac:dyDescent="0.3">
      <c r="A124" s="3" t="s">
        <v>367</v>
      </c>
      <c r="B124" s="4" t="s">
        <v>2431</v>
      </c>
      <c r="C124" s="19" t="s">
        <v>2430</v>
      </c>
      <c r="D124" s="19" t="s">
        <v>2429</v>
      </c>
      <c r="E124" s="3" t="s">
        <v>3167</v>
      </c>
      <c r="F124" s="3"/>
      <c r="G124" s="3"/>
      <c r="H124" s="3" t="s">
        <v>3142</v>
      </c>
      <c r="I124" s="3" t="s">
        <v>2037</v>
      </c>
      <c r="J124" s="3">
        <v>1</v>
      </c>
      <c r="K124" s="3">
        <v>0</v>
      </c>
      <c r="L124" s="4">
        <v>17.5</v>
      </c>
      <c r="M124" s="3" t="s">
        <v>2042</v>
      </c>
      <c r="N124" s="3" t="s">
        <v>28</v>
      </c>
      <c r="O124" s="3">
        <v>0</v>
      </c>
      <c r="P124" s="3">
        <v>0</v>
      </c>
      <c r="Q124" s="24">
        <v>9000</v>
      </c>
      <c r="R124" s="3">
        <f t="shared" si="1"/>
        <v>0</v>
      </c>
    </row>
    <row r="125" spans="1:18" x14ac:dyDescent="0.3">
      <c r="A125" s="3" t="s">
        <v>340</v>
      </c>
      <c r="B125" s="4" t="s">
        <v>2434</v>
      </c>
      <c r="C125" s="19" t="s">
        <v>2433</v>
      </c>
      <c r="D125" s="19" t="s">
        <v>2432</v>
      </c>
      <c r="E125" s="3" t="s">
        <v>3167</v>
      </c>
      <c r="F125" s="3"/>
      <c r="G125" s="3"/>
      <c r="H125" s="3" t="s">
        <v>3140</v>
      </c>
      <c r="I125" s="3" t="s">
        <v>2037</v>
      </c>
      <c r="J125" s="3">
        <v>1</v>
      </c>
      <c r="K125" s="3">
        <v>0</v>
      </c>
      <c r="L125" s="4">
        <v>27.95</v>
      </c>
      <c r="M125" s="3" t="s">
        <v>2042</v>
      </c>
      <c r="N125" s="3" t="s">
        <v>28</v>
      </c>
      <c r="O125" s="3">
        <v>0</v>
      </c>
      <c r="P125" s="3">
        <v>0</v>
      </c>
      <c r="Q125" s="24">
        <v>9000</v>
      </c>
      <c r="R125" s="3">
        <f t="shared" si="1"/>
        <v>0</v>
      </c>
    </row>
    <row r="126" spans="1:18" x14ac:dyDescent="0.3">
      <c r="A126" s="3" t="s">
        <v>340</v>
      </c>
      <c r="B126" s="4" t="s">
        <v>2437</v>
      </c>
      <c r="C126" s="19" t="s">
        <v>2436</v>
      </c>
      <c r="D126" s="19" t="s">
        <v>2435</v>
      </c>
      <c r="E126" s="3" t="s">
        <v>3167</v>
      </c>
      <c r="F126" s="3"/>
      <c r="G126" s="3"/>
      <c r="H126" s="3" t="s">
        <v>3140</v>
      </c>
      <c r="I126" s="3" t="s">
        <v>2037</v>
      </c>
      <c r="J126" s="3">
        <v>1</v>
      </c>
      <c r="K126" s="3">
        <v>0</v>
      </c>
      <c r="L126" s="4">
        <v>13.05</v>
      </c>
      <c r="M126" s="3" t="s">
        <v>2042</v>
      </c>
      <c r="N126" s="3" t="s">
        <v>28</v>
      </c>
      <c r="O126" s="3">
        <v>0</v>
      </c>
      <c r="P126" s="3">
        <v>0</v>
      </c>
      <c r="Q126" s="24">
        <v>9000</v>
      </c>
      <c r="R126" s="3">
        <f t="shared" si="1"/>
        <v>0</v>
      </c>
    </row>
    <row r="127" spans="1:18" x14ac:dyDescent="0.3">
      <c r="A127" s="3" t="s">
        <v>340</v>
      </c>
      <c r="B127" s="4" t="s">
        <v>2440</v>
      </c>
      <c r="C127" s="19" t="s">
        <v>2439</v>
      </c>
      <c r="D127" s="19" t="s">
        <v>2438</v>
      </c>
      <c r="E127" s="3" t="s">
        <v>3167</v>
      </c>
      <c r="F127" s="3"/>
      <c r="G127" s="3"/>
      <c r="H127" s="3" t="s">
        <v>3140</v>
      </c>
      <c r="I127" s="3" t="s">
        <v>2037</v>
      </c>
      <c r="J127" s="3">
        <v>1</v>
      </c>
      <c r="K127" s="3">
        <v>0</v>
      </c>
      <c r="L127" s="4">
        <v>4.45</v>
      </c>
      <c r="M127" s="3" t="s">
        <v>2042</v>
      </c>
      <c r="N127" s="3" t="s">
        <v>28</v>
      </c>
      <c r="O127" s="3">
        <v>0</v>
      </c>
      <c r="P127" s="3">
        <v>0</v>
      </c>
      <c r="Q127" s="24">
        <v>9000</v>
      </c>
      <c r="R127" s="3">
        <f t="shared" si="1"/>
        <v>0</v>
      </c>
    </row>
    <row r="128" spans="1:18" x14ac:dyDescent="0.3">
      <c r="A128" s="3" t="s">
        <v>340</v>
      </c>
      <c r="B128" s="4" t="s">
        <v>2443</v>
      </c>
      <c r="C128" s="19" t="s">
        <v>2442</v>
      </c>
      <c r="D128" s="19" t="s">
        <v>2441</v>
      </c>
      <c r="E128" s="3" t="s">
        <v>3167</v>
      </c>
      <c r="F128" s="3"/>
      <c r="G128" s="3"/>
      <c r="H128" s="3" t="s">
        <v>3140</v>
      </c>
      <c r="I128" s="3" t="s">
        <v>2037</v>
      </c>
      <c r="J128" s="3">
        <v>1</v>
      </c>
      <c r="K128" s="3">
        <v>0</v>
      </c>
      <c r="L128" s="4">
        <v>24.8</v>
      </c>
      <c r="M128" s="3" t="s">
        <v>2042</v>
      </c>
      <c r="N128" s="3" t="s">
        <v>28</v>
      </c>
      <c r="O128" s="3">
        <v>0</v>
      </c>
      <c r="P128" s="3">
        <v>0</v>
      </c>
      <c r="Q128" s="24">
        <v>9000</v>
      </c>
      <c r="R128" s="3">
        <f t="shared" si="1"/>
        <v>0</v>
      </c>
    </row>
    <row r="129" spans="1:18" x14ac:dyDescent="0.3">
      <c r="A129" s="3" t="s">
        <v>375</v>
      </c>
      <c r="B129" s="4" t="s">
        <v>2446</v>
      </c>
      <c r="C129" s="19" t="s">
        <v>2445</v>
      </c>
      <c r="D129" s="19" t="s">
        <v>2444</v>
      </c>
      <c r="E129" s="3" t="s">
        <v>3167</v>
      </c>
      <c r="F129" s="3"/>
      <c r="G129" s="3"/>
      <c r="H129" s="3" t="s">
        <v>3141</v>
      </c>
      <c r="I129" s="3" t="s">
        <v>2037</v>
      </c>
      <c r="J129" s="3">
        <v>1</v>
      </c>
      <c r="K129" s="3">
        <v>0</v>
      </c>
      <c r="L129" s="4">
        <v>16.899999999999999</v>
      </c>
      <c r="M129" s="3" t="s">
        <v>2042</v>
      </c>
      <c r="N129" s="3" t="s">
        <v>28</v>
      </c>
      <c r="O129" s="3">
        <v>0</v>
      </c>
      <c r="P129" s="3">
        <v>0</v>
      </c>
      <c r="Q129" s="24">
        <v>9000</v>
      </c>
      <c r="R129" s="3">
        <f t="shared" si="1"/>
        <v>0</v>
      </c>
    </row>
    <row r="130" spans="1:18" x14ac:dyDescent="0.3">
      <c r="A130" s="3" t="s">
        <v>375</v>
      </c>
      <c r="B130" s="4" t="s">
        <v>2449</v>
      </c>
      <c r="C130" s="19" t="s">
        <v>2448</v>
      </c>
      <c r="D130" s="19" t="s">
        <v>2447</v>
      </c>
      <c r="E130" s="3" t="s">
        <v>3167</v>
      </c>
      <c r="F130" s="3"/>
      <c r="G130" s="3"/>
      <c r="H130" s="3" t="s">
        <v>3141</v>
      </c>
      <c r="I130" s="3" t="s">
        <v>2037</v>
      </c>
      <c r="J130" s="3">
        <v>1</v>
      </c>
      <c r="K130" s="3">
        <v>0</v>
      </c>
      <c r="L130" s="4">
        <v>15</v>
      </c>
      <c r="M130" s="3" t="s">
        <v>2042</v>
      </c>
      <c r="N130" s="3" t="s">
        <v>28</v>
      </c>
      <c r="O130" s="3">
        <v>0</v>
      </c>
      <c r="P130" s="3">
        <v>0</v>
      </c>
      <c r="Q130" s="24">
        <v>9000</v>
      </c>
      <c r="R130" s="3">
        <f t="shared" si="1"/>
        <v>0</v>
      </c>
    </row>
    <row r="131" spans="1:18" x14ac:dyDescent="0.3">
      <c r="A131" s="3" t="s">
        <v>380</v>
      </c>
      <c r="B131" s="4" t="s">
        <v>2452</v>
      </c>
      <c r="C131" s="19" t="s">
        <v>2451</v>
      </c>
      <c r="D131" s="19" t="s">
        <v>2450</v>
      </c>
      <c r="E131" s="3" t="s">
        <v>33</v>
      </c>
      <c r="F131" s="3"/>
      <c r="G131" s="3"/>
      <c r="H131" s="3" t="s">
        <v>3135</v>
      </c>
      <c r="I131" s="3" t="s">
        <v>2037</v>
      </c>
      <c r="J131" s="3">
        <v>1</v>
      </c>
      <c r="K131" s="3">
        <v>18</v>
      </c>
      <c r="L131" s="4">
        <v>50</v>
      </c>
      <c r="M131" s="3" t="s">
        <v>2142</v>
      </c>
      <c r="N131" s="3" t="s">
        <v>30</v>
      </c>
      <c r="O131" s="3">
        <v>125.8</v>
      </c>
      <c r="P131" s="3" t="s">
        <v>2453</v>
      </c>
      <c r="Q131" s="24" t="str">
        <f>_xlfn.XLOOKUP(C131,[1]DailyCommercialOfferData!$A$2:$A$164,[1]DailyCommercialOfferData!$C$2:$C$164,0)</f>
        <v>125.79</v>
      </c>
      <c r="R131" s="3">
        <f t="shared" ref="R131:R194" si="2">O131</f>
        <v>125.8</v>
      </c>
    </row>
    <row r="132" spans="1:18" x14ac:dyDescent="0.3">
      <c r="A132" s="3" t="s">
        <v>397</v>
      </c>
      <c r="B132" s="4" t="s">
        <v>2456</v>
      </c>
      <c r="C132" s="19" t="s">
        <v>2455</v>
      </c>
      <c r="D132" s="19" t="s">
        <v>2454</v>
      </c>
      <c r="E132" s="3" t="s">
        <v>3167</v>
      </c>
      <c r="F132" s="3"/>
      <c r="G132" s="3"/>
      <c r="H132" s="3" t="s">
        <v>3155</v>
      </c>
      <c r="I132" s="3" t="s">
        <v>2037</v>
      </c>
      <c r="J132" s="3">
        <v>1</v>
      </c>
      <c r="K132" s="3">
        <v>0</v>
      </c>
      <c r="L132" s="4">
        <v>119</v>
      </c>
      <c r="M132" s="3" t="s">
        <v>2160</v>
      </c>
      <c r="N132" s="3" t="s">
        <v>28</v>
      </c>
      <c r="O132" s="3">
        <v>0</v>
      </c>
      <c r="P132" s="3">
        <v>0</v>
      </c>
      <c r="Q132" s="24">
        <v>9000</v>
      </c>
      <c r="R132" s="3">
        <f t="shared" si="2"/>
        <v>0</v>
      </c>
    </row>
    <row r="133" spans="1:18" x14ac:dyDescent="0.3">
      <c r="A133" s="3" t="s">
        <v>397</v>
      </c>
      <c r="B133" s="4" t="s">
        <v>2459</v>
      </c>
      <c r="C133" s="19" t="s">
        <v>2458</v>
      </c>
      <c r="D133" s="19" t="s">
        <v>2457</v>
      </c>
      <c r="E133" s="3" t="s">
        <v>3167</v>
      </c>
      <c r="F133" s="3"/>
      <c r="G133" s="3"/>
      <c r="H133" s="3" t="s">
        <v>3155</v>
      </c>
      <c r="I133" s="3" t="s">
        <v>2037</v>
      </c>
      <c r="J133" s="3">
        <v>1</v>
      </c>
      <c r="K133" s="3">
        <v>0</v>
      </c>
      <c r="L133" s="4">
        <v>31.6</v>
      </c>
      <c r="M133" s="3" t="s">
        <v>2160</v>
      </c>
      <c r="N133" s="3" t="s">
        <v>28</v>
      </c>
      <c r="O133" s="3">
        <v>0</v>
      </c>
      <c r="P133" s="3">
        <v>0</v>
      </c>
      <c r="Q133" s="24">
        <v>9000</v>
      </c>
      <c r="R133" s="3">
        <f t="shared" si="2"/>
        <v>0</v>
      </c>
    </row>
    <row r="134" spans="1:18" x14ac:dyDescent="0.3">
      <c r="A134" s="3" t="s">
        <v>432</v>
      </c>
      <c r="B134" s="4" t="s">
        <v>2462</v>
      </c>
      <c r="C134" s="19" t="s">
        <v>2461</v>
      </c>
      <c r="D134" s="19" t="s">
        <v>2460</v>
      </c>
      <c r="E134" s="3" t="s">
        <v>3167</v>
      </c>
      <c r="F134" s="3"/>
      <c r="G134" s="3"/>
      <c r="H134" s="3" t="s">
        <v>3155</v>
      </c>
      <c r="I134" s="3" t="s">
        <v>2037</v>
      </c>
      <c r="J134" s="3">
        <v>1</v>
      </c>
      <c r="K134" s="3">
        <v>0</v>
      </c>
      <c r="L134" s="4">
        <v>95</v>
      </c>
      <c r="M134" s="3" t="s">
        <v>2160</v>
      </c>
      <c r="N134" s="3" t="s">
        <v>28</v>
      </c>
      <c r="O134" s="3">
        <v>0</v>
      </c>
      <c r="P134" s="3">
        <v>0</v>
      </c>
      <c r="Q134" s="24">
        <v>9000</v>
      </c>
      <c r="R134" s="3">
        <f t="shared" si="2"/>
        <v>0</v>
      </c>
    </row>
    <row r="135" spans="1:18" x14ac:dyDescent="0.3">
      <c r="A135" s="3" t="s">
        <v>438</v>
      </c>
      <c r="B135" s="4" t="s">
        <v>2465</v>
      </c>
      <c r="C135" s="19" t="s">
        <v>2464</v>
      </c>
      <c r="D135" s="19" t="s">
        <v>2463</v>
      </c>
      <c r="E135" s="3" t="s">
        <v>3167</v>
      </c>
      <c r="F135" s="3"/>
      <c r="G135" s="3"/>
      <c r="H135" s="3" t="s">
        <v>3140</v>
      </c>
      <c r="I135" s="3" t="s">
        <v>2037</v>
      </c>
      <c r="J135" s="3">
        <v>1</v>
      </c>
      <c r="K135" s="3">
        <v>0</v>
      </c>
      <c r="L135" s="4">
        <v>59.225000000000001</v>
      </c>
      <c r="M135" s="3" t="s">
        <v>2042</v>
      </c>
      <c r="N135" s="3" t="s">
        <v>28</v>
      </c>
      <c r="O135" s="3">
        <v>0</v>
      </c>
      <c r="P135" s="3">
        <v>0</v>
      </c>
      <c r="Q135" s="24">
        <v>9000</v>
      </c>
      <c r="R135" s="3">
        <f t="shared" si="2"/>
        <v>0</v>
      </c>
    </row>
    <row r="136" spans="1:18" x14ac:dyDescent="0.3">
      <c r="A136" s="3" t="s">
        <v>688</v>
      </c>
      <c r="B136" s="4" t="s">
        <v>2468</v>
      </c>
      <c r="C136" s="19" t="s">
        <v>2467</v>
      </c>
      <c r="D136" s="19" t="s">
        <v>2466</v>
      </c>
      <c r="E136" s="3" t="s">
        <v>3167</v>
      </c>
      <c r="F136" s="3"/>
      <c r="G136" s="3"/>
      <c r="H136" s="3" t="s">
        <v>3145</v>
      </c>
      <c r="I136" s="3" t="s">
        <v>2037</v>
      </c>
      <c r="J136" s="3">
        <v>1</v>
      </c>
      <c r="K136" s="3">
        <v>0</v>
      </c>
      <c r="L136" s="4">
        <v>23.5</v>
      </c>
      <c r="M136" s="3" t="s">
        <v>2042</v>
      </c>
      <c r="N136" s="3" t="s">
        <v>28</v>
      </c>
      <c r="O136" s="3">
        <v>0</v>
      </c>
      <c r="P136" s="3">
        <v>0</v>
      </c>
      <c r="Q136" s="24">
        <v>9000</v>
      </c>
      <c r="R136" s="3">
        <f t="shared" si="2"/>
        <v>0</v>
      </c>
    </row>
    <row r="137" spans="1:18" x14ac:dyDescent="0.3">
      <c r="A137" s="3" t="s">
        <v>688</v>
      </c>
      <c r="B137" s="4" t="s">
        <v>2471</v>
      </c>
      <c r="C137" s="19" t="s">
        <v>2470</v>
      </c>
      <c r="D137" s="19" t="s">
        <v>2469</v>
      </c>
      <c r="E137" s="3" t="s">
        <v>3167</v>
      </c>
      <c r="F137" s="3"/>
      <c r="G137" s="3"/>
      <c r="H137" s="3" t="s">
        <v>3145</v>
      </c>
      <c r="I137" s="3" t="s">
        <v>2037</v>
      </c>
      <c r="J137" s="3">
        <v>1</v>
      </c>
      <c r="K137" s="3">
        <v>0</v>
      </c>
      <c r="L137" s="4">
        <v>46.8</v>
      </c>
      <c r="M137" s="3" t="s">
        <v>2042</v>
      </c>
      <c r="N137" s="3" t="s">
        <v>28</v>
      </c>
      <c r="O137" s="3">
        <v>0</v>
      </c>
      <c r="P137" s="3">
        <v>0</v>
      </c>
      <c r="Q137" s="24">
        <v>9000</v>
      </c>
      <c r="R137" s="3">
        <f t="shared" si="2"/>
        <v>0</v>
      </c>
    </row>
    <row r="138" spans="1:18" x14ac:dyDescent="0.3">
      <c r="A138" s="3" t="s">
        <v>440</v>
      </c>
      <c r="B138" s="4" t="s">
        <v>2474</v>
      </c>
      <c r="C138" s="19" t="s">
        <v>2473</v>
      </c>
      <c r="D138" s="19" t="s">
        <v>2472</v>
      </c>
      <c r="E138" s="3" t="s">
        <v>3167</v>
      </c>
      <c r="F138" s="3"/>
      <c r="G138" s="3"/>
      <c r="H138" s="3" t="s">
        <v>3156</v>
      </c>
      <c r="I138" s="3" t="s">
        <v>2037</v>
      </c>
      <c r="J138" s="3">
        <v>1</v>
      </c>
      <c r="K138" s="3">
        <v>0</v>
      </c>
      <c r="L138" s="4">
        <v>32</v>
      </c>
      <c r="M138" s="3" t="s">
        <v>2042</v>
      </c>
      <c r="N138" s="3" t="s">
        <v>28</v>
      </c>
      <c r="O138" s="3">
        <v>0</v>
      </c>
      <c r="P138" s="3">
        <v>0</v>
      </c>
      <c r="Q138" s="24">
        <v>9000</v>
      </c>
      <c r="R138" s="3">
        <f t="shared" si="2"/>
        <v>0</v>
      </c>
    </row>
    <row r="139" spans="1:18" x14ac:dyDescent="0.3">
      <c r="A139" s="3" t="s">
        <v>440</v>
      </c>
      <c r="B139" s="4" t="s">
        <v>2477</v>
      </c>
      <c r="C139" s="19" t="s">
        <v>2476</v>
      </c>
      <c r="D139" s="19" t="s">
        <v>2475</v>
      </c>
      <c r="E139" s="3" t="s">
        <v>3167</v>
      </c>
      <c r="F139" s="3"/>
      <c r="G139" s="3"/>
      <c r="H139" s="3" t="s">
        <v>3156</v>
      </c>
      <c r="I139" s="3" t="s">
        <v>2037</v>
      </c>
      <c r="J139" s="3">
        <v>1</v>
      </c>
      <c r="K139" s="3">
        <v>0</v>
      </c>
      <c r="L139" s="4">
        <v>26</v>
      </c>
      <c r="M139" s="3" t="s">
        <v>2042</v>
      </c>
      <c r="N139" s="3" t="s">
        <v>28</v>
      </c>
      <c r="O139" s="3">
        <v>0</v>
      </c>
      <c r="P139" s="3">
        <v>0</v>
      </c>
      <c r="Q139" s="24">
        <v>9000</v>
      </c>
      <c r="R139" s="3">
        <f t="shared" si="2"/>
        <v>0</v>
      </c>
    </row>
    <row r="140" spans="1:18" x14ac:dyDescent="0.3">
      <c r="A140" s="3" t="s">
        <v>440</v>
      </c>
      <c r="B140" s="4" t="s">
        <v>2480</v>
      </c>
      <c r="C140" s="19" t="s">
        <v>2479</v>
      </c>
      <c r="D140" s="19" t="s">
        <v>2478</v>
      </c>
      <c r="E140" s="3" t="s">
        <v>3167</v>
      </c>
      <c r="F140" s="3"/>
      <c r="G140" s="3"/>
      <c r="H140" s="3" t="s">
        <v>3156</v>
      </c>
      <c r="I140" s="3" t="s">
        <v>2037</v>
      </c>
      <c r="J140" s="3">
        <v>1</v>
      </c>
      <c r="K140" s="3">
        <v>0</v>
      </c>
      <c r="L140" s="4">
        <v>22</v>
      </c>
      <c r="M140" s="3" t="s">
        <v>2042</v>
      </c>
      <c r="N140" s="3" t="s">
        <v>28</v>
      </c>
      <c r="O140" s="3">
        <v>0</v>
      </c>
      <c r="P140" s="3">
        <v>0</v>
      </c>
      <c r="Q140" s="24">
        <v>9000</v>
      </c>
      <c r="R140" s="3">
        <f t="shared" si="2"/>
        <v>0</v>
      </c>
    </row>
    <row r="141" spans="1:18" x14ac:dyDescent="0.3">
      <c r="A141" s="3" t="s">
        <v>401</v>
      </c>
      <c r="B141" s="4" t="s">
        <v>2483</v>
      </c>
      <c r="C141" s="19" t="s">
        <v>2482</v>
      </c>
      <c r="D141" s="19" t="s">
        <v>2481</v>
      </c>
      <c r="E141" s="3" t="s">
        <v>33</v>
      </c>
      <c r="F141" s="3"/>
      <c r="G141" s="3"/>
      <c r="H141" s="3" t="s">
        <v>3135</v>
      </c>
      <c r="I141" s="3" t="s">
        <v>2082</v>
      </c>
      <c r="J141" s="3">
        <v>1</v>
      </c>
      <c r="K141" s="3">
        <v>160</v>
      </c>
      <c r="L141" s="4">
        <v>444</v>
      </c>
      <c r="M141" s="3" t="s">
        <v>2071</v>
      </c>
      <c r="N141" s="3" t="s">
        <v>30</v>
      </c>
      <c r="O141" s="3">
        <v>51.72</v>
      </c>
      <c r="P141" s="3" t="s">
        <v>2484</v>
      </c>
      <c r="Q141" s="24" t="str">
        <f>_xlfn.XLOOKUP(C141,[1]DailyCommercialOfferData!$A$2:$A$164,[1]DailyCommercialOfferData!$C$2:$C$164,0)</f>
        <v>48.65</v>
      </c>
      <c r="R141" s="3">
        <f t="shared" si="2"/>
        <v>51.72</v>
      </c>
    </row>
    <row r="142" spans="1:18" x14ac:dyDescent="0.3">
      <c r="A142" s="3" t="s">
        <v>394</v>
      </c>
      <c r="B142" s="4" t="s">
        <v>2487</v>
      </c>
      <c r="C142" s="19" t="s">
        <v>2486</v>
      </c>
      <c r="D142" s="19" t="s">
        <v>2485</v>
      </c>
      <c r="E142" s="3" t="s">
        <v>3167</v>
      </c>
      <c r="F142" s="3"/>
      <c r="G142" s="3"/>
      <c r="H142" s="3" t="s">
        <v>3140</v>
      </c>
      <c r="I142" s="3" t="s">
        <v>2037</v>
      </c>
      <c r="J142" s="3">
        <v>1</v>
      </c>
      <c r="K142" s="3">
        <v>0</v>
      </c>
      <c r="L142" s="4">
        <v>29.8</v>
      </c>
      <c r="M142" s="3" t="s">
        <v>2042</v>
      </c>
      <c r="N142" s="3" t="s">
        <v>28</v>
      </c>
      <c r="O142" s="3">
        <v>0</v>
      </c>
      <c r="P142" s="3">
        <v>0</v>
      </c>
      <c r="Q142" s="24">
        <v>9000</v>
      </c>
      <c r="R142" s="3">
        <f t="shared" si="2"/>
        <v>0</v>
      </c>
    </row>
    <row r="143" spans="1:18" x14ac:dyDescent="0.3">
      <c r="A143" s="3" t="s">
        <v>411</v>
      </c>
      <c r="B143" s="4" t="s">
        <v>2490</v>
      </c>
      <c r="C143" s="19" t="s">
        <v>2489</v>
      </c>
      <c r="D143" s="19" t="s">
        <v>2488</v>
      </c>
      <c r="E143" s="3" t="s">
        <v>3167</v>
      </c>
      <c r="F143" s="3"/>
      <c r="G143" s="3"/>
      <c r="H143" s="3" t="s">
        <v>3136</v>
      </c>
      <c r="I143" s="3" t="s">
        <v>2037</v>
      </c>
      <c r="J143" s="3">
        <v>1</v>
      </c>
      <c r="K143" s="3">
        <v>0</v>
      </c>
      <c r="L143" s="4">
        <v>13.8</v>
      </c>
      <c r="M143" s="3" t="s">
        <v>2042</v>
      </c>
      <c r="N143" s="3" t="s">
        <v>28</v>
      </c>
      <c r="O143" s="3">
        <v>0</v>
      </c>
      <c r="P143" s="3">
        <v>0</v>
      </c>
      <c r="Q143" s="24">
        <v>9000</v>
      </c>
      <c r="R143" s="3">
        <f t="shared" si="2"/>
        <v>0</v>
      </c>
    </row>
    <row r="144" spans="1:18" x14ac:dyDescent="0.3">
      <c r="A144" s="3" t="s">
        <v>411</v>
      </c>
      <c r="B144" s="4" t="s">
        <v>2493</v>
      </c>
      <c r="C144" s="19" t="s">
        <v>2492</v>
      </c>
      <c r="D144" s="19" t="s">
        <v>2491</v>
      </c>
      <c r="E144" s="3" t="s">
        <v>3167</v>
      </c>
      <c r="F144" s="3"/>
      <c r="G144" s="3"/>
      <c r="H144" s="3" t="s">
        <v>3136</v>
      </c>
      <c r="I144" s="3" t="s">
        <v>2037</v>
      </c>
      <c r="J144" s="3">
        <v>1</v>
      </c>
      <c r="K144" s="3">
        <v>0</v>
      </c>
      <c r="L144" s="4">
        <v>25.3</v>
      </c>
      <c r="M144" s="3" t="s">
        <v>2042</v>
      </c>
      <c r="N144" s="3" t="s">
        <v>28</v>
      </c>
      <c r="O144" s="3">
        <v>0</v>
      </c>
      <c r="P144" s="3">
        <v>0</v>
      </c>
      <c r="Q144" s="24">
        <v>9000</v>
      </c>
      <c r="R144" s="3">
        <f t="shared" si="2"/>
        <v>0</v>
      </c>
    </row>
    <row r="145" spans="1:18" x14ac:dyDescent="0.3">
      <c r="A145" s="3" t="s">
        <v>416</v>
      </c>
      <c r="B145" s="4" t="s">
        <v>2496</v>
      </c>
      <c r="C145" s="19" t="s">
        <v>2495</v>
      </c>
      <c r="D145" s="19" t="s">
        <v>2494</v>
      </c>
      <c r="E145" s="3" t="s">
        <v>3167</v>
      </c>
      <c r="F145" s="3"/>
      <c r="G145" s="3"/>
      <c r="H145" s="3" t="s">
        <v>3153</v>
      </c>
      <c r="I145" s="3" t="s">
        <v>2037</v>
      </c>
      <c r="J145" s="3">
        <v>1</v>
      </c>
      <c r="K145" s="3">
        <v>0</v>
      </c>
      <c r="L145" s="4">
        <v>28</v>
      </c>
      <c r="M145" s="3" t="s">
        <v>2042</v>
      </c>
      <c r="N145" s="3" t="s">
        <v>28</v>
      </c>
      <c r="O145" s="3">
        <v>0</v>
      </c>
      <c r="P145" s="3">
        <v>0</v>
      </c>
      <c r="Q145" s="24">
        <v>9000</v>
      </c>
      <c r="R145" s="3">
        <f t="shared" si="2"/>
        <v>0</v>
      </c>
    </row>
    <row r="146" spans="1:18" x14ac:dyDescent="0.3">
      <c r="A146" s="3" t="s">
        <v>416</v>
      </c>
      <c r="B146" s="4" t="s">
        <v>2499</v>
      </c>
      <c r="C146" s="19" t="s">
        <v>2498</v>
      </c>
      <c r="D146" s="19" t="s">
        <v>2497</v>
      </c>
      <c r="E146" s="3" t="s">
        <v>3167</v>
      </c>
      <c r="F146" s="3"/>
      <c r="G146" s="3"/>
      <c r="H146" s="3" t="s">
        <v>3153</v>
      </c>
      <c r="I146" s="3" t="s">
        <v>2037</v>
      </c>
      <c r="J146" s="3">
        <v>1</v>
      </c>
      <c r="K146" s="3">
        <v>0</v>
      </c>
      <c r="L146" s="4">
        <v>12.5</v>
      </c>
      <c r="M146" s="3" t="s">
        <v>2042</v>
      </c>
      <c r="N146" s="3" t="s">
        <v>28</v>
      </c>
      <c r="O146" s="3">
        <v>0</v>
      </c>
      <c r="P146" s="3">
        <v>0</v>
      </c>
      <c r="Q146" s="24">
        <v>9000</v>
      </c>
      <c r="R146" s="3">
        <f t="shared" si="2"/>
        <v>0</v>
      </c>
    </row>
    <row r="147" spans="1:18" x14ac:dyDescent="0.3">
      <c r="A147" s="3" t="s">
        <v>416</v>
      </c>
      <c r="B147" s="4" t="s">
        <v>2502</v>
      </c>
      <c r="C147" s="19" t="s">
        <v>2501</v>
      </c>
      <c r="D147" s="19" t="s">
        <v>2500</v>
      </c>
      <c r="E147" s="3" t="s">
        <v>3167</v>
      </c>
      <c r="F147" s="3"/>
      <c r="G147" s="3"/>
      <c r="H147" s="3" t="s">
        <v>3153</v>
      </c>
      <c r="I147" s="3" t="s">
        <v>2037</v>
      </c>
      <c r="J147" s="3">
        <v>1</v>
      </c>
      <c r="K147" s="3">
        <v>0</v>
      </c>
      <c r="L147" s="4">
        <v>34.15</v>
      </c>
      <c r="M147" s="3" t="s">
        <v>2042</v>
      </c>
      <c r="N147" s="3" t="s">
        <v>28</v>
      </c>
      <c r="O147" s="3">
        <v>0</v>
      </c>
      <c r="P147" s="3">
        <v>0</v>
      </c>
      <c r="Q147" s="24">
        <v>9000</v>
      </c>
      <c r="R147" s="3">
        <f t="shared" si="2"/>
        <v>0</v>
      </c>
    </row>
    <row r="148" spans="1:18" x14ac:dyDescent="0.3">
      <c r="A148" s="3" t="s">
        <v>420</v>
      </c>
      <c r="B148" s="4" t="s">
        <v>2505</v>
      </c>
      <c r="C148" s="19" t="s">
        <v>2504</v>
      </c>
      <c r="D148" s="19" t="s">
        <v>2503</v>
      </c>
      <c r="E148" s="3" t="s">
        <v>3167</v>
      </c>
      <c r="F148" s="3"/>
      <c r="G148" s="3"/>
      <c r="H148" s="3" t="s">
        <v>3135</v>
      </c>
      <c r="I148" s="3" t="s">
        <v>2037</v>
      </c>
      <c r="J148" s="3">
        <v>1</v>
      </c>
      <c r="K148" s="3">
        <v>0</v>
      </c>
      <c r="L148" s="4">
        <v>12</v>
      </c>
      <c r="M148" s="3" t="s">
        <v>2042</v>
      </c>
      <c r="N148" s="3" t="s">
        <v>28</v>
      </c>
      <c r="O148" s="3">
        <v>0</v>
      </c>
      <c r="P148" s="3">
        <v>0</v>
      </c>
      <c r="Q148" s="24">
        <v>9000</v>
      </c>
      <c r="R148" s="3">
        <f t="shared" si="2"/>
        <v>0</v>
      </c>
    </row>
    <row r="149" spans="1:18" x14ac:dyDescent="0.3">
      <c r="A149" s="3" t="s">
        <v>441</v>
      </c>
      <c r="B149" s="4" t="s">
        <v>2508</v>
      </c>
      <c r="C149" s="19" t="s">
        <v>2507</v>
      </c>
      <c r="D149" s="19" t="s">
        <v>2506</v>
      </c>
      <c r="E149" s="3" t="s">
        <v>3167</v>
      </c>
      <c r="F149" s="3"/>
      <c r="G149" s="3"/>
      <c r="H149" s="3" t="s">
        <v>3157</v>
      </c>
      <c r="I149" s="3" t="s">
        <v>2037</v>
      </c>
      <c r="J149" s="3">
        <v>1</v>
      </c>
      <c r="K149" s="3">
        <v>0</v>
      </c>
      <c r="L149" s="4">
        <v>30</v>
      </c>
      <c r="M149" s="3" t="s">
        <v>2042</v>
      </c>
      <c r="N149" s="3" t="s">
        <v>28</v>
      </c>
      <c r="O149" s="3">
        <v>0</v>
      </c>
      <c r="P149" s="3">
        <v>0</v>
      </c>
      <c r="Q149" s="24">
        <v>9000</v>
      </c>
      <c r="R149" s="3">
        <f t="shared" si="2"/>
        <v>0</v>
      </c>
    </row>
    <row r="150" spans="1:18" x14ac:dyDescent="0.3">
      <c r="A150" s="3" t="s">
        <v>441</v>
      </c>
      <c r="B150" s="4" t="s">
        <v>2511</v>
      </c>
      <c r="C150" s="19" t="s">
        <v>2510</v>
      </c>
      <c r="D150" s="19" t="s">
        <v>2509</v>
      </c>
      <c r="E150" s="3" t="s">
        <v>3167</v>
      </c>
      <c r="F150" s="3"/>
      <c r="G150" s="3"/>
      <c r="H150" s="3" t="s">
        <v>3157</v>
      </c>
      <c r="I150" s="3" t="s">
        <v>2037</v>
      </c>
      <c r="J150" s="3">
        <v>1</v>
      </c>
      <c r="K150" s="3">
        <v>0</v>
      </c>
      <c r="L150" s="4">
        <v>18.8</v>
      </c>
      <c r="M150" s="3" t="s">
        <v>2042</v>
      </c>
      <c r="N150" s="3" t="s">
        <v>28</v>
      </c>
      <c r="O150" s="3">
        <v>0</v>
      </c>
      <c r="P150" s="3">
        <v>0</v>
      </c>
      <c r="Q150" s="24">
        <v>9000</v>
      </c>
      <c r="R150" s="3">
        <f t="shared" si="2"/>
        <v>0</v>
      </c>
    </row>
    <row r="151" spans="1:18" x14ac:dyDescent="0.3">
      <c r="A151" s="3" t="s">
        <v>441</v>
      </c>
      <c r="B151" s="4" t="s">
        <v>2514</v>
      </c>
      <c r="C151" s="19" t="s">
        <v>2513</v>
      </c>
      <c r="D151" s="19" t="s">
        <v>2512</v>
      </c>
      <c r="E151" s="3" t="s">
        <v>3167</v>
      </c>
      <c r="F151" s="3"/>
      <c r="G151" s="3"/>
      <c r="H151" s="3" t="s">
        <v>3157</v>
      </c>
      <c r="I151" s="3" t="s">
        <v>2037</v>
      </c>
      <c r="J151" s="3">
        <v>1</v>
      </c>
      <c r="K151" s="3">
        <v>0</v>
      </c>
      <c r="L151" s="4">
        <v>14.1</v>
      </c>
      <c r="M151" s="3" t="s">
        <v>2042</v>
      </c>
      <c r="N151" s="3" t="s">
        <v>28</v>
      </c>
      <c r="O151" s="3">
        <v>0</v>
      </c>
      <c r="P151" s="3">
        <v>0</v>
      </c>
      <c r="Q151" s="24">
        <v>9000</v>
      </c>
      <c r="R151" s="3">
        <f t="shared" si="2"/>
        <v>0</v>
      </c>
    </row>
    <row r="152" spans="1:18" x14ac:dyDescent="0.3">
      <c r="A152" s="3" t="s">
        <v>441</v>
      </c>
      <c r="B152" s="4" t="s">
        <v>2517</v>
      </c>
      <c r="C152" s="19" t="s">
        <v>2516</v>
      </c>
      <c r="D152" s="19" t="s">
        <v>2515</v>
      </c>
      <c r="E152" s="3" t="s">
        <v>3167</v>
      </c>
      <c r="F152" s="3"/>
      <c r="G152" s="3"/>
      <c r="H152" s="3" t="s">
        <v>3157</v>
      </c>
      <c r="I152" s="3" t="s">
        <v>2037</v>
      </c>
      <c r="J152" s="3">
        <v>1</v>
      </c>
      <c r="K152" s="3">
        <v>0</v>
      </c>
      <c r="L152" s="4">
        <v>16.100000000000001</v>
      </c>
      <c r="M152" s="3" t="s">
        <v>2042</v>
      </c>
      <c r="N152" s="3" t="s">
        <v>28</v>
      </c>
      <c r="O152" s="3">
        <v>0</v>
      </c>
      <c r="P152" s="3">
        <v>0</v>
      </c>
      <c r="Q152" s="24">
        <v>9000</v>
      </c>
      <c r="R152" s="3">
        <f t="shared" si="2"/>
        <v>0</v>
      </c>
    </row>
    <row r="153" spans="1:18" x14ac:dyDescent="0.3">
      <c r="A153" s="3" t="s">
        <v>441</v>
      </c>
      <c r="B153" s="4" t="s">
        <v>2520</v>
      </c>
      <c r="C153" s="19" t="s">
        <v>2519</v>
      </c>
      <c r="D153" s="19" t="s">
        <v>2518</v>
      </c>
      <c r="E153" s="3" t="s">
        <v>3167</v>
      </c>
      <c r="F153" s="3"/>
      <c r="G153" s="3"/>
      <c r="H153" s="3" t="s">
        <v>3157</v>
      </c>
      <c r="I153" s="3" t="s">
        <v>2037</v>
      </c>
      <c r="J153" s="3">
        <v>1</v>
      </c>
      <c r="K153" s="3">
        <v>0</v>
      </c>
      <c r="L153" s="4">
        <v>12.5</v>
      </c>
      <c r="M153" s="3" t="s">
        <v>2042</v>
      </c>
      <c r="N153" s="3" t="s">
        <v>28</v>
      </c>
      <c r="O153" s="3">
        <v>0</v>
      </c>
      <c r="P153" s="3">
        <v>0</v>
      </c>
      <c r="Q153" s="24">
        <v>9000</v>
      </c>
      <c r="R153" s="3">
        <f t="shared" si="2"/>
        <v>0</v>
      </c>
    </row>
    <row r="154" spans="1:18" x14ac:dyDescent="0.3">
      <c r="A154" s="3" t="s">
        <v>441</v>
      </c>
      <c r="B154" s="4" t="s">
        <v>2523</v>
      </c>
      <c r="C154" s="19" t="s">
        <v>2522</v>
      </c>
      <c r="D154" s="19" t="s">
        <v>2521</v>
      </c>
      <c r="E154" s="3" t="s">
        <v>3167</v>
      </c>
      <c r="F154" s="3"/>
      <c r="G154" s="3"/>
      <c r="H154" s="3" t="s">
        <v>3157</v>
      </c>
      <c r="I154" s="3" t="s">
        <v>2037</v>
      </c>
      <c r="J154" s="3">
        <v>1</v>
      </c>
      <c r="K154" s="3">
        <v>0</v>
      </c>
      <c r="L154" s="4">
        <v>21.6</v>
      </c>
      <c r="M154" s="3" t="s">
        <v>2042</v>
      </c>
      <c r="N154" s="3" t="s">
        <v>28</v>
      </c>
      <c r="O154" s="3">
        <v>0</v>
      </c>
      <c r="P154" s="3">
        <v>0</v>
      </c>
      <c r="Q154" s="24">
        <v>9000</v>
      </c>
      <c r="R154" s="3">
        <f t="shared" si="2"/>
        <v>0</v>
      </c>
    </row>
    <row r="155" spans="1:18" x14ac:dyDescent="0.3">
      <c r="A155" s="3" t="s">
        <v>405</v>
      </c>
      <c r="B155" s="4" t="s">
        <v>2526</v>
      </c>
      <c r="C155" s="19" t="s">
        <v>2525</v>
      </c>
      <c r="D155" s="19" t="s">
        <v>2524</v>
      </c>
      <c r="E155" s="3" t="s">
        <v>33</v>
      </c>
      <c r="F155" s="3"/>
      <c r="G155" s="3"/>
      <c r="H155" s="3" t="s">
        <v>3135</v>
      </c>
      <c r="I155" s="3" t="s">
        <v>2527</v>
      </c>
      <c r="J155" s="3">
        <v>1</v>
      </c>
      <c r="K155" s="3">
        <v>165</v>
      </c>
      <c r="L155" s="4">
        <v>464</v>
      </c>
      <c r="M155" s="3" t="s">
        <v>2071</v>
      </c>
      <c r="N155" s="3" t="s">
        <v>30</v>
      </c>
      <c r="O155" s="3">
        <v>79.11</v>
      </c>
      <c r="P155" s="3" t="s">
        <v>2528</v>
      </c>
      <c r="Q155" s="24" t="str">
        <f>_xlfn.XLOOKUP(C155,[1]DailyCommercialOfferData!$A$2:$A$164,[1]DailyCommercialOfferData!$C$2:$C$164,0)</f>
        <v>71.88</v>
      </c>
      <c r="R155" s="3">
        <f t="shared" si="2"/>
        <v>79.11</v>
      </c>
    </row>
    <row r="156" spans="1:18" x14ac:dyDescent="0.3">
      <c r="A156" s="3" t="s">
        <v>451</v>
      </c>
      <c r="B156" s="4" t="s">
        <v>2531</v>
      </c>
      <c r="C156" s="19" t="s">
        <v>2530</v>
      </c>
      <c r="D156" s="19" t="s">
        <v>2529</v>
      </c>
      <c r="E156" s="3" t="s">
        <v>33</v>
      </c>
      <c r="F156" s="3"/>
      <c r="G156" s="3"/>
      <c r="H156" s="3" t="s">
        <v>3135</v>
      </c>
      <c r="I156" s="3" t="s">
        <v>2532</v>
      </c>
      <c r="J156" s="3">
        <v>1</v>
      </c>
      <c r="K156" s="3">
        <v>121</v>
      </c>
      <c r="L156" s="4">
        <v>400</v>
      </c>
      <c r="M156" s="3" t="s">
        <v>2142</v>
      </c>
      <c r="N156" s="3" t="s">
        <v>30</v>
      </c>
      <c r="O156" s="3">
        <v>59.09</v>
      </c>
      <c r="P156" s="3" t="s">
        <v>2533</v>
      </c>
      <c r="Q156" s="24" t="str">
        <f>_xlfn.XLOOKUP(C156,[1]DailyCommercialOfferData!$A$2:$A$164,[1]DailyCommercialOfferData!$C$2:$C$164,0)</f>
        <v>54.19</v>
      </c>
      <c r="R156" s="3">
        <f t="shared" si="2"/>
        <v>59.09</v>
      </c>
    </row>
    <row r="157" spans="1:18" x14ac:dyDescent="0.3">
      <c r="A157" s="3" t="s">
        <v>451</v>
      </c>
      <c r="B157" s="4" t="s">
        <v>2536</v>
      </c>
      <c r="C157" s="19" t="s">
        <v>2535</v>
      </c>
      <c r="D157" s="19" t="s">
        <v>2534</v>
      </c>
      <c r="E157" s="3" t="s">
        <v>33</v>
      </c>
      <c r="F157" s="3"/>
      <c r="G157" s="3"/>
      <c r="H157" s="3" t="s">
        <v>3135</v>
      </c>
      <c r="I157" s="3" t="s">
        <v>2537</v>
      </c>
      <c r="J157" s="3">
        <v>1</v>
      </c>
      <c r="K157" s="3">
        <v>120</v>
      </c>
      <c r="L157" s="4">
        <v>342</v>
      </c>
      <c r="M157" s="3" t="s">
        <v>2142</v>
      </c>
      <c r="N157" s="3" t="s">
        <v>30</v>
      </c>
      <c r="O157" s="3">
        <v>65.099999999999994</v>
      </c>
      <c r="P157" s="3" t="s">
        <v>2538</v>
      </c>
      <c r="Q157" s="24" t="str">
        <f>_xlfn.XLOOKUP(C157,[1]DailyCommercialOfferData!$A$2:$A$164,[1]DailyCommercialOfferData!$C$2:$C$164,0)</f>
        <v>59.7</v>
      </c>
      <c r="R157" s="3">
        <f t="shared" si="2"/>
        <v>65.099999999999994</v>
      </c>
    </row>
    <row r="158" spans="1:18" x14ac:dyDescent="0.3">
      <c r="A158" s="3" t="s">
        <v>455</v>
      </c>
      <c r="B158" s="4" t="s">
        <v>2541</v>
      </c>
      <c r="C158" s="19" t="s">
        <v>2540</v>
      </c>
      <c r="D158" s="19" t="s">
        <v>2539</v>
      </c>
      <c r="E158" s="3" t="s">
        <v>3167</v>
      </c>
      <c r="F158" s="3"/>
      <c r="G158" s="3"/>
      <c r="H158" s="3" t="s">
        <v>3138</v>
      </c>
      <c r="I158" s="3" t="s">
        <v>2037</v>
      </c>
      <c r="J158" s="3">
        <v>1</v>
      </c>
      <c r="K158" s="3">
        <v>0</v>
      </c>
      <c r="L158" s="4">
        <v>35.950000000000003</v>
      </c>
      <c r="M158" s="3" t="s">
        <v>2042</v>
      </c>
      <c r="N158" s="3" t="s">
        <v>28</v>
      </c>
      <c r="O158" s="3">
        <v>0</v>
      </c>
      <c r="P158" s="3">
        <v>0</v>
      </c>
      <c r="Q158" s="24">
        <v>9000</v>
      </c>
      <c r="R158" s="3">
        <f t="shared" si="2"/>
        <v>0</v>
      </c>
    </row>
    <row r="159" spans="1:18" x14ac:dyDescent="0.3">
      <c r="A159" s="3" t="s">
        <v>461</v>
      </c>
      <c r="B159" s="4" t="s">
        <v>2544</v>
      </c>
      <c r="C159" s="19" t="s">
        <v>2543</v>
      </c>
      <c r="D159" s="19" t="s">
        <v>2542</v>
      </c>
      <c r="E159" s="3" t="s">
        <v>33</v>
      </c>
      <c r="F159" s="3"/>
      <c r="G159" s="3"/>
      <c r="H159" s="3" t="s">
        <v>3135</v>
      </c>
      <c r="I159" s="3" t="s">
        <v>2037</v>
      </c>
      <c r="J159" s="3">
        <v>1</v>
      </c>
      <c r="K159" s="3">
        <v>4.5999999999999996</v>
      </c>
      <c r="L159" s="4">
        <v>18.54</v>
      </c>
      <c r="M159" s="3" t="s">
        <v>2071</v>
      </c>
      <c r="N159" s="3" t="s">
        <v>30</v>
      </c>
      <c r="O159" s="3">
        <v>106.78</v>
      </c>
      <c r="P159" s="3" t="s">
        <v>2545</v>
      </c>
      <c r="Q159" s="24" t="str">
        <f>_xlfn.XLOOKUP(C159,[1]DailyCommercialOfferData!$A$2:$A$164,[1]DailyCommercialOfferData!$C$2:$C$164,0)</f>
        <v>98.17</v>
      </c>
      <c r="R159" s="3">
        <f t="shared" si="2"/>
        <v>106.78</v>
      </c>
    </row>
    <row r="160" spans="1:18" x14ac:dyDescent="0.3">
      <c r="A160" s="3" t="s">
        <v>461</v>
      </c>
      <c r="B160" s="4" t="s">
        <v>2548</v>
      </c>
      <c r="C160" s="19" t="s">
        <v>2547</v>
      </c>
      <c r="D160" s="19" t="s">
        <v>2546</v>
      </c>
      <c r="E160" s="3" t="s">
        <v>33</v>
      </c>
      <c r="F160" s="3"/>
      <c r="G160" s="3"/>
      <c r="H160" s="3" t="s">
        <v>3135</v>
      </c>
      <c r="I160" s="3" t="s">
        <v>2037</v>
      </c>
      <c r="J160" s="3">
        <v>1</v>
      </c>
      <c r="K160" s="3">
        <v>4.5999999999999996</v>
      </c>
      <c r="L160" s="4">
        <v>18.54</v>
      </c>
      <c r="M160" s="3" t="s">
        <v>2071</v>
      </c>
      <c r="N160" s="3" t="s">
        <v>30</v>
      </c>
      <c r="O160" s="3">
        <v>106.78</v>
      </c>
      <c r="P160" s="3" t="s">
        <v>2545</v>
      </c>
      <c r="Q160" s="24" t="str">
        <f>_xlfn.XLOOKUP(C160,[1]DailyCommercialOfferData!$A$2:$A$164,[1]DailyCommercialOfferData!$C$2:$C$164,0)</f>
        <v>98.17</v>
      </c>
      <c r="R160" s="3">
        <f t="shared" si="2"/>
        <v>106.78</v>
      </c>
    </row>
    <row r="161" spans="1:18" x14ac:dyDescent="0.3">
      <c r="A161" s="3" t="s">
        <v>461</v>
      </c>
      <c r="B161" s="4" t="s">
        <v>2551</v>
      </c>
      <c r="C161" s="19" t="s">
        <v>2550</v>
      </c>
      <c r="D161" s="19" t="s">
        <v>2549</v>
      </c>
      <c r="E161" s="3" t="s">
        <v>33</v>
      </c>
      <c r="F161" s="3"/>
      <c r="G161" s="3"/>
      <c r="H161" s="3" t="s">
        <v>3135</v>
      </c>
      <c r="I161" s="3" t="s">
        <v>2037</v>
      </c>
      <c r="J161" s="3">
        <v>1</v>
      </c>
      <c r="K161" s="3">
        <v>4.5999999999999996</v>
      </c>
      <c r="L161" s="4">
        <v>18.54</v>
      </c>
      <c r="M161" s="3" t="s">
        <v>2071</v>
      </c>
      <c r="N161" s="3" t="s">
        <v>30</v>
      </c>
      <c r="O161" s="3">
        <v>106.78</v>
      </c>
      <c r="P161" s="3" t="s">
        <v>2545</v>
      </c>
      <c r="Q161" s="24" t="str">
        <f>_xlfn.XLOOKUP(C161,[1]DailyCommercialOfferData!$A$2:$A$164,[1]DailyCommercialOfferData!$C$2:$C$164,0)</f>
        <v>98.17</v>
      </c>
      <c r="R161" s="3">
        <f t="shared" si="2"/>
        <v>106.78</v>
      </c>
    </row>
    <row r="162" spans="1:18" x14ac:dyDescent="0.3">
      <c r="A162" s="3" t="s">
        <v>461</v>
      </c>
      <c r="B162" s="4" t="s">
        <v>2554</v>
      </c>
      <c r="C162" s="19" t="s">
        <v>2553</v>
      </c>
      <c r="D162" s="19" t="s">
        <v>2552</v>
      </c>
      <c r="E162" s="3" t="s">
        <v>33</v>
      </c>
      <c r="F162" s="3"/>
      <c r="G162" s="3"/>
      <c r="H162" s="3" t="s">
        <v>3135</v>
      </c>
      <c r="I162" s="3" t="s">
        <v>2037</v>
      </c>
      <c r="J162" s="3">
        <v>1</v>
      </c>
      <c r="K162" s="3">
        <v>4.5999999999999996</v>
      </c>
      <c r="L162" s="4">
        <v>18.54</v>
      </c>
      <c r="M162" s="3" t="s">
        <v>2071</v>
      </c>
      <c r="N162" s="3" t="s">
        <v>30</v>
      </c>
      <c r="O162" s="3">
        <v>106.78</v>
      </c>
      <c r="P162" s="3" t="s">
        <v>2545</v>
      </c>
      <c r="Q162" s="24" t="str">
        <f>_xlfn.XLOOKUP(C162,[1]DailyCommercialOfferData!$A$2:$A$164,[1]DailyCommercialOfferData!$C$2:$C$164,0)</f>
        <v>98.17</v>
      </c>
      <c r="R162" s="3">
        <f t="shared" si="2"/>
        <v>106.78</v>
      </c>
    </row>
    <row r="163" spans="1:18" x14ac:dyDescent="0.3">
      <c r="A163" s="3" t="s">
        <v>461</v>
      </c>
      <c r="B163" s="4" t="s">
        <v>2557</v>
      </c>
      <c r="C163" s="19" t="s">
        <v>2556</v>
      </c>
      <c r="D163" s="19" t="s">
        <v>2555</v>
      </c>
      <c r="E163" s="3" t="s">
        <v>33</v>
      </c>
      <c r="F163" s="3"/>
      <c r="G163" s="3"/>
      <c r="H163" s="3" t="s">
        <v>3135</v>
      </c>
      <c r="I163" s="3" t="s">
        <v>2037</v>
      </c>
      <c r="J163" s="3">
        <v>1</v>
      </c>
      <c r="K163" s="3">
        <v>4.5999999999999996</v>
      </c>
      <c r="L163" s="4">
        <v>18.54</v>
      </c>
      <c r="M163" s="3" t="s">
        <v>2071</v>
      </c>
      <c r="N163" s="3" t="s">
        <v>30</v>
      </c>
      <c r="O163" s="3">
        <v>106.78</v>
      </c>
      <c r="P163" s="3" t="s">
        <v>2545</v>
      </c>
      <c r="Q163" s="24" t="str">
        <f>_xlfn.XLOOKUP(C163,[1]DailyCommercialOfferData!$A$2:$A$164,[1]DailyCommercialOfferData!$C$2:$C$164,0)</f>
        <v>98.17</v>
      </c>
      <c r="R163" s="3">
        <f t="shared" si="2"/>
        <v>106.78</v>
      </c>
    </row>
    <row r="164" spans="1:18" x14ac:dyDescent="0.3">
      <c r="A164" s="3" t="s">
        <v>461</v>
      </c>
      <c r="B164" s="4" t="s">
        <v>2560</v>
      </c>
      <c r="C164" s="19" t="s">
        <v>2559</v>
      </c>
      <c r="D164" s="19" t="s">
        <v>2558</v>
      </c>
      <c r="E164" s="3" t="s">
        <v>33</v>
      </c>
      <c r="F164" s="3"/>
      <c r="G164" s="3"/>
      <c r="H164" s="3" t="s">
        <v>3135</v>
      </c>
      <c r="I164" s="3" t="s">
        <v>2037</v>
      </c>
      <c r="J164" s="3">
        <v>1</v>
      </c>
      <c r="K164" s="3">
        <v>4.5999999999999996</v>
      </c>
      <c r="L164" s="4">
        <v>18.54</v>
      </c>
      <c r="M164" s="3" t="s">
        <v>2071</v>
      </c>
      <c r="N164" s="3" t="s">
        <v>30</v>
      </c>
      <c r="O164" s="3">
        <v>106.78</v>
      </c>
      <c r="P164" s="3" t="s">
        <v>2545</v>
      </c>
      <c r="Q164" s="24" t="str">
        <f>_xlfn.XLOOKUP(C164,[1]DailyCommercialOfferData!$A$2:$A$164,[1]DailyCommercialOfferData!$C$2:$C$164,0)</f>
        <v>98.17</v>
      </c>
      <c r="R164" s="3">
        <f t="shared" si="2"/>
        <v>106.78</v>
      </c>
    </row>
    <row r="165" spans="1:18" x14ac:dyDescent="0.3">
      <c r="A165" s="3" t="s">
        <v>453</v>
      </c>
      <c r="B165" s="4" t="s">
        <v>2563</v>
      </c>
      <c r="C165" s="19" t="s">
        <v>2562</v>
      </c>
      <c r="D165" s="19" t="s">
        <v>2561</v>
      </c>
      <c r="E165" s="3" t="s">
        <v>33</v>
      </c>
      <c r="F165" s="3"/>
      <c r="G165" s="3"/>
      <c r="H165" s="3" t="s">
        <v>3135</v>
      </c>
      <c r="I165" s="3" t="s">
        <v>2037</v>
      </c>
      <c r="J165" s="3">
        <v>1</v>
      </c>
      <c r="K165" s="3">
        <v>3</v>
      </c>
      <c r="L165" s="4">
        <v>15</v>
      </c>
      <c r="M165" s="3" t="s">
        <v>2096</v>
      </c>
      <c r="N165" s="3" t="s">
        <v>30</v>
      </c>
      <c r="O165" s="3">
        <v>80</v>
      </c>
      <c r="P165" s="3" t="s">
        <v>995</v>
      </c>
      <c r="Q165" s="24">
        <v>8000</v>
      </c>
      <c r="R165" s="3">
        <f t="shared" si="2"/>
        <v>80</v>
      </c>
    </row>
    <row r="166" spans="1:18" x14ac:dyDescent="0.3">
      <c r="A166" s="3" t="s">
        <v>453</v>
      </c>
      <c r="B166" s="4" t="s">
        <v>2566</v>
      </c>
      <c r="C166" s="19" t="s">
        <v>2565</v>
      </c>
      <c r="D166" s="19" t="s">
        <v>2564</v>
      </c>
      <c r="E166" s="3" t="s">
        <v>33</v>
      </c>
      <c r="F166" s="3"/>
      <c r="G166" s="3"/>
      <c r="H166" s="3" t="s">
        <v>3135</v>
      </c>
      <c r="I166" s="3" t="s">
        <v>2037</v>
      </c>
      <c r="J166" s="3">
        <v>1</v>
      </c>
      <c r="K166" s="3">
        <v>1</v>
      </c>
      <c r="L166" s="4">
        <v>4</v>
      </c>
      <c r="M166" s="3" t="s">
        <v>2096</v>
      </c>
      <c r="N166" s="3" t="s">
        <v>30</v>
      </c>
      <c r="O166" s="3">
        <v>80</v>
      </c>
      <c r="P166" s="3" t="s">
        <v>995</v>
      </c>
      <c r="Q166" s="24">
        <v>8000</v>
      </c>
      <c r="R166" s="3">
        <f t="shared" si="2"/>
        <v>80</v>
      </c>
    </row>
    <row r="167" spans="1:18" x14ac:dyDescent="0.3">
      <c r="A167" s="3" t="s">
        <v>463</v>
      </c>
      <c r="B167" s="4" t="s">
        <v>2569</v>
      </c>
      <c r="C167" s="19" t="s">
        <v>2568</v>
      </c>
      <c r="D167" s="19" t="s">
        <v>2567</v>
      </c>
      <c r="E167" s="3" t="s">
        <v>33</v>
      </c>
      <c r="F167" s="3"/>
      <c r="G167" s="3"/>
      <c r="H167" s="3" t="s">
        <v>3135</v>
      </c>
      <c r="I167" s="3" t="s">
        <v>2537</v>
      </c>
      <c r="J167" s="3">
        <v>1</v>
      </c>
      <c r="K167" s="3">
        <v>110</v>
      </c>
      <c r="L167" s="4">
        <v>415</v>
      </c>
      <c r="M167" s="3" t="s">
        <v>2071</v>
      </c>
      <c r="N167" s="3" t="s">
        <v>30</v>
      </c>
      <c r="O167" s="3">
        <v>47.55</v>
      </c>
      <c r="P167" s="3" t="s">
        <v>2570</v>
      </c>
      <c r="Q167" s="24" t="str">
        <f>_xlfn.XLOOKUP(C167,[1]DailyCommercialOfferData!$A$2:$A$164,[1]DailyCommercialOfferData!$C$2:$C$164,0)</f>
        <v>47.53</v>
      </c>
      <c r="R167" s="3">
        <f t="shared" si="2"/>
        <v>47.55</v>
      </c>
    </row>
    <row r="168" spans="1:18" x14ac:dyDescent="0.3">
      <c r="A168" s="3" t="s">
        <v>463</v>
      </c>
      <c r="B168" s="4" t="s">
        <v>2573</v>
      </c>
      <c r="C168" s="19" t="s">
        <v>2572</v>
      </c>
      <c r="D168" s="19" t="s">
        <v>2571</v>
      </c>
      <c r="E168" s="3" t="s">
        <v>33</v>
      </c>
      <c r="F168" s="3"/>
      <c r="G168" s="3"/>
      <c r="H168" s="3" t="s">
        <v>3135</v>
      </c>
      <c r="I168" s="3" t="s">
        <v>2366</v>
      </c>
      <c r="J168" s="3">
        <v>1</v>
      </c>
      <c r="K168" s="3">
        <v>22.7</v>
      </c>
      <c r="L168" s="4">
        <v>63.5</v>
      </c>
      <c r="M168" s="3" t="s">
        <v>2071</v>
      </c>
      <c r="N168" s="3" t="s">
        <v>30</v>
      </c>
      <c r="O168" s="3">
        <v>110.12</v>
      </c>
      <c r="P168" s="3" t="s">
        <v>2574</v>
      </c>
      <c r="Q168" s="24" t="str">
        <f>_xlfn.XLOOKUP(C168,[1]DailyCommercialOfferData!$A$2:$A$164,[1]DailyCommercialOfferData!$C$2:$C$164,0)</f>
        <v>108.86</v>
      </c>
      <c r="R168" s="3">
        <f t="shared" si="2"/>
        <v>110.12</v>
      </c>
    </row>
    <row r="169" spans="1:18" x14ac:dyDescent="0.3">
      <c r="A169" s="3" t="s">
        <v>317</v>
      </c>
      <c r="B169" s="4" t="s">
        <v>2577</v>
      </c>
      <c r="C169" s="19" t="s">
        <v>2576</v>
      </c>
      <c r="D169" s="19" t="s">
        <v>2575</v>
      </c>
      <c r="E169" s="3" t="s">
        <v>3167</v>
      </c>
      <c r="F169" s="3"/>
      <c r="G169" s="3"/>
      <c r="H169" s="3" t="s">
        <v>3135</v>
      </c>
      <c r="I169" s="3" t="s">
        <v>2037</v>
      </c>
      <c r="J169" s="3">
        <v>1</v>
      </c>
      <c r="K169" s="3">
        <v>0</v>
      </c>
      <c r="L169" s="4">
        <v>75</v>
      </c>
      <c r="M169" s="3" t="s">
        <v>2042</v>
      </c>
      <c r="N169" s="3" t="s">
        <v>28</v>
      </c>
      <c r="O169" s="3">
        <v>0</v>
      </c>
      <c r="P169" s="3">
        <v>0</v>
      </c>
      <c r="Q169" s="24">
        <v>9000</v>
      </c>
      <c r="R169" s="3">
        <f t="shared" si="2"/>
        <v>0</v>
      </c>
    </row>
    <row r="170" spans="1:18" x14ac:dyDescent="0.3">
      <c r="A170" s="3" t="s">
        <v>317</v>
      </c>
      <c r="B170" s="4" t="s">
        <v>2580</v>
      </c>
      <c r="C170" s="19" t="s">
        <v>2579</v>
      </c>
      <c r="D170" s="19" t="s">
        <v>2578</v>
      </c>
      <c r="E170" s="3" t="s">
        <v>33</v>
      </c>
      <c r="F170" s="3"/>
      <c r="G170" s="3"/>
      <c r="H170" s="3" t="s">
        <v>3135</v>
      </c>
      <c r="I170" s="3" t="s">
        <v>2037</v>
      </c>
      <c r="J170" s="23">
        <v>0</v>
      </c>
      <c r="K170" s="3">
        <v>0</v>
      </c>
      <c r="L170" s="4">
        <v>25</v>
      </c>
      <c r="M170" s="3" t="s">
        <v>2071</v>
      </c>
      <c r="N170" s="3" t="s">
        <v>30</v>
      </c>
      <c r="O170" s="3">
        <v>203.89</v>
      </c>
      <c r="P170" s="3" t="s">
        <v>995</v>
      </c>
      <c r="Q170" s="24" t="str">
        <f>_xlfn.XLOOKUP(C170,[1]DailyCommercialOfferData!$A$2:$A$164,[1]DailyCommercialOfferData!$C$2:$C$164,0)</f>
        <v>8.62</v>
      </c>
      <c r="R170" s="3">
        <f t="shared" si="2"/>
        <v>203.89</v>
      </c>
    </row>
    <row r="171" spans="1:18" x14ac:dyDescent="0.3">
      <c r="A171" s="3" t="s">
        <v>476</v>
      </c>
      <c r="B171" s="4" t="s">
        <v>2583</v>
      </c>
      <c r="C171" s="19" t="s">
        <v>2582</v>
      </c>
      <c r="D171" s="19" t="s">
        <v>2581</v>
      </c>
      <c r="E171" s="3" t="s">
        <v>3167</v>
      </c>
      <c r="F171" s="3"/>
      <c r="G171" s="3"/>
      <c r="H171" s="3" t="s">
        <v>3138</v>
      </c>
      <c r="I171" s="3" t="s">
        <v>2037</v>
      </c>
      <c r="J171" s="3">
        <v>1</v>
      </c>
      <c r="K171" s="3">
        <v>0</v>
      </c>
      <c r="L171" s="4">
        <v>36</v>
      </c>
      <c r="M171" s="3" t="s">
        <v>2042</v>
      </c>
      <c r="N171" s="3" t="s">
        <v>28</v>
      </c>
      <c r="O171" s="3">
        <v>0</v>
      </c>
      <c r="P171" s="3">
        <v>0</v>
      </c>
      <c r="Q171" s="24">
        <v>9000</v>
      </c>
      <c r="R171" s="3">
        <f t="shared" si="2"/>
        <v>0</v>
      </c>
    </row>
    <row r="172" spans="1:18" x14ac:dyDescent="0.3">
      <c r="A172" s="3" t="s">
        <v>496</v>
      </c>
      <c r="B172" s="4" t="s">
        <v>2586</v>
      </c>
      <c r="C172" s="19" t="s">
        <v>2585</v>
      </c>
      <c r="D172" s="19" t="s">
        <v>2584</v>
      </c>
      <c r="E172" s="3" t="s">
        <v>3167</v>
      </c>
      <c r="F172" s="3"/>
      <c r="G172" s="3"/>
      <c r="H172" s="3" t="s">
        <v>3158</v>
      </c>
      <c r="I172" s="3" t="s">
        <v>2037</v>
      </c>
      <c r="J172" s="3">
        <v>1</v>
      </c>
      <c r="K172" s="3">
        <v>0</v>
      </c>
      <c r="L172" s="4">
        <v>15</v>
      </c>
      <c r="M172" s="3" t="s">
        <v>2042</v>
      </c>
      <c r="N172" s="3" t="s">
        <v>28</v>
      </c>
      <c r="O172" s="3">
        <v>0</v>
      </c>
      <c r="P172" s="3">
        <v>0</v>
      </c>
      <c r="Q172" s="24">
        <v>9000</v>
      </c>
      <c r="R172" s="3">
        <f t="shared" si="2"/>
        <v>0</v>
      </c>
    </row>
    <row r="173" spans="1:18" x14ac:dyDescent="0.3">
      <c r="A173" s="3" t="s">
        <v>496</v>
      </c>
      <c r="B173" s="4" t="s">
        <v>2589</v>
      </c>
      <c r="C173" s="19" t="s">
        <v>2588</v>
      </c>
      <c r="D173" s="19" t="s">
        <v>2587</v>
      </c>
      <c r="E173" s="3" t="s">
        <v>3167</v>
      </c>
      <c r="F173" s="3"/>
      <c r="G173" s="3"/>
      <c r="H173" s="3" t="s">
        <v>3158</v>
      </c>
      <c r="I173" s="3" t="s">
        <v>2037</v>
      </c>
      <c r="J173" s="3">
        <v>1</v>
      </c>
      <c r="K173" s="3">
        <v>0</v>
      </c>
      <c r="L173" s="4">
        <v>20.7</v>
      </c>
      <c r="M173" s="3" t="s">
        <v>2042</v>
      </c>
      <c r="N173" s="3" t="s">
        <v>28</v>
      </c>
      <c r="O173" s="3">
        <v>0</v>
      </c>
      <c r="P173" s="3">
        <v>0</v>
      </c>
      <c r="Q173" s="24">
        <v>9000</v>
      </c>
      <c r="R173" s="3">
        <f t="shared" si="2"/>
        <v>0</v>
      </c>
    </row>
    <row r="174" spans="1:18" x14ac:dyDescent="0.3">
      <c r="A174" s="3" t="s">
        <v>507</v>
      </c>
      <c r="B174" s="4" t="s">
        <v>2592</v>
      </c>
      <c r="C174" s="19" t="s">
        <v>2591</v>
      </c>
      <c r="D174" s="19" t="s">
        <v>2590</v>
      </c>
      <c r="E174" s="3" t="s">
        <v>3167</v>
      </c>
      <c r="F174" s="3"/>
      <c r="G174" s="3"/>
      <c r="H174" s="3" t="s">
        <v>3140</v>
      </c>
      <c r="I174" s="3" t="s">
        <v>2037</v>
      </c>
      <c r="J174" s="3">
        <v>1</v>
      </c>
      <c r="K174" s="3">
        <v>0</v>
      </c>
      <c r="L174" s="4">
        <v>37.049999999999997</v>
      </c>
      <c r="M174" s="3" t="s">
        <v>2042</v>
      </c>
      <c r="N174" s="3" t="s">
        <v>28</v>
      </c>
      <c r="O174" s="3">
        <v>0</v>
      </c>
      <c r="P174" s="3">
        <v>0</v>
      </c>
      <c r="Q174" s="24">
        <v>9000</v>
      </c>
      <c r="R174" s="3">
        <f t="shared" si="2"/>
        <v>0</v>
      </c>
    </row>
    <row r="175" spans="1:18" x14ac:dyDescent="0.3">
      <c r="A175" s="3" t="s">
        <v>507</v>
      </c>
      <c r="B175" s="4" t="s">
        <v>2595</v>
      </c>
      <c r="C175" s="19" t="s">
        <v>2594</v>
      </c>
      <c r="D175" s="19" t="s">
        <v>2593</v>
      </c>
      <c r="E175" s="3" t="s">
        <v>33</v>
      </c>
      <c r="F175" s="3"/>
      <c r="G175" s="3"/>
      <c r="H175" s="3" t="s">
        <v>3140</v>
      </c>
      <c r="I175" s="3" t="s">
        <v>2037</v>
      </c>
      <c r="J175" s="3">
        <v>1</v>
      </c>
      <c r="K175" s="3">
        <v>0.2</v>
      </c>
      <c r="L175" s="4">
        <v>2</v>
      </c>
      <c r="M175" s="3" t="s">
        <v>2132</v>
      </c>
      <c r="N175" s="3" t="s">
        <v>30</v>
      </c>
      <c r="O175" s="3">
        <v>424.84</v>
      </c>
      <c r="P175" s="3" t="s">
        <v>995</v>
      </c>
      <c r="Q175" s="24" t="str">
        <f>_xlfn.XLOOKUP(C175,[1]DailyCommercialOfferData!$A$2:$A$164,[1]DailyCommercialOfferData!$C$2:$C$164,0)</f>
        <v>424.84</v>
      </c>
      <c r="R175" s="3">
        <f t="shared" si="2"/>
        <v>424.84</v>
      </c>
    </row>
    <row r="176" spans="1:18" x14ac:dyDescent="0.3">
      <c r="A176" s="3" t="s">
        <v>507</v>
      </c>
      <c r="B176" s="4" t="s">
        <v>2598</v>
      </c>
      <c r="C176" s="19" t="s">
        <v>2597</v>
      </c>
      <c r="D176" s="19" t="s">
        <v>2596</v>
      </c>
      <c r="E176" s="3" t="s">
        <v>3167</v>
      </c>
      <c r="F176" s="3"/>
      <c r="G176" s="3"/>
      <c r="H176" s="3" t="s">
        <v>3140</v>
      </c>
      <c r="I176" s="3" t="s">
        <v>2037</v>
      </c>
      <c r="J176" s="3">
        <v>1</v>
      </c>
      <c r="K176" s="3">
        <v>0</v>
      </c>
      <c r="L176" s="4">
        <v>18</v>
      </c>
      <c r="M176" s="3" t="s">
        <v>2042</v>
      </c>
      <c r="N176" s="3" t="s">
        <v>28</v>
      </c>
      <c r="O176" s="3">
        <v>0</v>
      </c>
      <c r="P176" s="3">
        <v>0</v>
      </c>
      <c r="Q176" s="24">
        <v>9000</v>
      </c>
      <c r="R176" s="3">
        <f t="shared" si="2"/>
        <v>0</v>
      </c>
    </row>
    <row r="177" spans="1:18" x14ac:dyDescent="0.3">
      <c r="A177" s="3" t="s">
        <v>510</v>
      </c>
      <c r="B177" s="4" t="s">
        <v>2601</v>
      </c>
      <c r="C177" s="19" t="s">
        <v>2600</v>
      </c>
      <c r="D177" s="19" t="s">
        <v>2599</v>
      </c>
      <c r="E177" s="3" t="s">
        <v>33</v>
      </c>
      <c r="F177" s="3"/>
      <c r="G177" s="3"/>
      <c r="H177" s="3" t="s">
        <v>3142</v>
      </c>
      <c r="I177" s="3" t="s">
        <v>2131</v>
      </c>
      <c r="J177" s="3">
        <v>1</v>
      </c>
      <c r="K177" s="3">
        <v>5</v>
      </c>
      <c r="L177" s="4">
        <v>29.2</v>
      </c>
      <c r="M177" s="3" t="s">
        <v>2132</v>
      </c>
      <c r="N177" s="3" t="s">
        <v>30</v>
      </c>
      <c r="O177" s="3">
        <v>431.15</v>
      </c>
      <c r="P177" s="3" t="s">
        <v>2602</v>
      </c>
      <c r="Q177" s="24" t="str">
        <f>_xlfn.XLOOKUP(C177,[1]DailyCommercialOfferData!$A$2:$A$164,[1]DailyCommercialOfferData!$C$2:$C$164,0)</f>
        <v>425.9</v>
      </c>
      <c r="R177" s="3">
        <f t="shared" si="2"/>
        <v>431.15</v>
      </c>
    </row>
    <row r="178" spans="1:18" x14ac:dyDescent="0.3">
      <c r="A178" s="3" t="s">
        <v>510</v>
      </c>
      <c r="B178" s="4" t="s">
        <v>2605</v>
      </c>
      <c r="C178" s="19" t="s">
        <v>2604</v>
      </c>
      <c r="D178" s="19" t="s">
        <v>2603</v>
      </c>
      <c r="E178" s="3" t="s">
        <v>33</v>
      </c>
      <c r="F178" s="3"/>
      <c r="G178" s="3"/>
      <c r="H178" s="3" t="s">
        <v>3142</v>
      </c>
      <c r="I178" s="3" t="s">
        <v>2131</v>
      </c>
      <c r="J178" s="3">
        <v>1</v>
      </c>
      <c r="K178" s="3">
        <v>5</v>
      </c>
      <c r="L178" s="4">
        <v>29.2</v>
      </c>
      <c r="M178" s="3" t="s">
        <v>2132</v>
      </c>
      <c r="N178" s="3" t="s">
        <v>30</v>
      </c>
      <c r="O178" s="3">
        <v>431.15</v>
      </c>
      <c r="P178" s="3" t="s">
        <v>2602</v>
      </c>
      <c r="Q178" s="24" t="str">
        <f>_xlfn.XLOOKUP(C178,[1]DailyCommercialOfferData!$A$2:$A$164,[1]DailyCommercialOfferData!$C$2:$C$164,0)</f>
        <v>425.9</v>
      </c>
      <c r="R178" s="3">
        <f t="shared" si="2"/>
        <v>431.15</v>
      </c>
    </row>
    <row r="179" spans="1:18" x14ac:dyDescent="0.3">
      <c r="A179" s="3" t="s">
        <v>510</v>
      </c>
      <c r="B179" s="4" t="s">
        <v>2608</v>
      </c>
      <c r="C179" s="19" t="s">
        <v>2607</v>
      </c>
      <c r="D179" s="19" t="s">
        <v>2606</v>
      </c>
      <c r="E179" s="3" t="s">
        <v>33</v>
      </c>
      <c r="F179" s="3"/>
      <c r="G179" s="3"/>
      <c r="H179" s="3" t="s">
        <v>3142</v>
      </c>
      <c r="I179" s="3" t="s">
        <v>2131</v>
      </c>
      <c r="J179" s="3">
        <v>1</v>
      </c>
      <c r="K179" s="3">
        <v>12.82</v>
      </c>
      <c r="L179" s="4">
        <v>41.61</v>
      </c>
      <c r="M179" s="3" t="s">
        <v>2132</v>
      </c>
      <c r="N179" s="3" t="s">
        <v>30</v>
      </c>
      <c r="O179" s="3">
        <v>198.29</v>
      </c>
      <c r="P179" s="3" t="s">
        <v>2609</v>
      </c>
      <c r="Q179" s="24" t="str">
        <f>_xlfn.XLOOKUP(C179,[1]DailyCommercialOfferData!$A$2:$A$164,[1]DailyCommercialOfferData!$C$2:$C$164,0)</f>
        <v>196.54</v>
      </c>
      <c r="R179" s="3">
        <f t="shared" si="2"/>
        <v>198.29</v>
      </c>
    </row>
    <row r="180" spans="1:18" x14ac:dyDescent="0.3">
      <c r="A180" s="3" t="s">
        <v>510</v>
      </c>
      <c r="B180" s="4" t="s">
        <v>2612</v>
      </c>
      <c r="C180" s="19" t="s">
        <v>2611</v>
      </c>
      <c r="D180" s="19" t="s">
        <v>2610</v>
      </c>
      <c r="E180" s="3" t="s">
        <v>33</v>
      </c>
      <c r="F180" s="3"/>
      <c r="G180" s="3"/>
      <c r="H180" s="3" t="s">
        <v>3142</v>
      </c>
      <c r="I180" s="3" t="s">
        <v>2131</v>
      </c>
      <c r="J180" s="3">
        <v>1</v>
      </c>
      <c r="K180" s="3">
        <v>12.82</v>
      </c>
      <c r="L180" s="4">
        <v>41.61</v>
      </c>
      <c r="M180" s="3" t="s">
        <v>2132</v>
      </c>
      <c r="N180" s="3" t="s">
        <v>30</v>
      </c>
      <c r="O180" s="3">
        <v>198.29</v>
      </c>
      <c r="P180" s="3" t="s">
        <v>2609</v>
      </c>
      <c r="Q180" s="24" t="str">
        <f>_xlfn.XLOOKUP(C180,[1]DailyCommercialOfferData!$A$2:$A$164,[1]DailyCommercialOfferData!$C$2:$C$164,0)</f>
        <v>196.54</v>
      </c>
      <c r="R180" s="3">
        <f t="shared" si="2"/>
        <v>198.29</v>
      </c>
    </row>
    <row r="181" spans="1:18" x14ac:dyDescent="0.3">
      <c r="A181" s="3" t="s">
        <v>510</v>
      </c>
      <c r="B181" s="4" t="s">
        <v>2615</v>
      </c>
      <c r="C181" s="19" t="s">
        <v>2614</v>
      </c>
      <c r="D181" s="19" t="s">
        <v>2613</v>
      </c>
      <c r="E181" s="3" t="s">
        <v>33</v>
      </c>
      <c r="F181" s="3"/>
      <c r="G181" s="3"/>
      <c r="H181" s="3" t="s">
        <v>3142</v>
      </c>
      <c r="I181" s="3" t="s">
        <v>2616</v>
      </c>
      <c r="J181" s="3">
        <v>1</v>
      </c>
      <c r="K181" s="3">
        <v>147</v>
      </c>
      <c r="L181" s="4">
        <v>350</v>
      </c>
      <c r="M181" s="3" t="s">
        <v>2071</v>
      </c>
      <c r="N181" s="3" t="s">
        <v>30</v>
      </c>
      <c r="O181" s="3">
        <v>89.08</v>
      </c>
      <c r="P181" s="3" t="s">
        <v>2617</v>
      </c>
      <c r="Q181" s="24" t="str">
        <f>_xlfn.XLOOKUP(C181,[1]DailyCommercialOfferData!$A$2:$A$164,[1]DailyCommercialOfferData!$C$2:$C$164,0)</f>
        <v>83.15</v>
      </c>
      <c r="R181" s="3">
        <f t="shared" si="2"/>
        <v>89.08</v>
      </c>
    </row>
    <row r="182" spans="1:18" x14ac:dyDescent="0.3">
      <c r="A182" s="3" t="s">
        <v>510</v>
      </c>
      <c r="B182" s="4" t="s">
        <v>2620</v>
      </c>
      <c r="C182" s="19" t="s">
        <v>2619</v>
      </c>
      <c r="D182" s="19" t="s">
        <v>2618</v>
      </c>
      <c r="E182" s="3" t="s">
        <v>33</v>
      </c>
      <c r="F182" s="3"/>
      <c r="G182" s="3"/>
      <c r="H182" s="3" t="s">
        <v>3142</v>
      </c>
      <c r="I182" s="3" t="s">
        <v>2616</v>
      </c>
      <c r="J182" s="3">
        <v>1</v>
      </c>
      <c r="K182" s="3">
        <v>147</v>
      </c>
      <c r="L182" s="4">
        <v>350</v>
      </c>
      <c r="M182" s="3" t="s">
        <v>2071</v>
      </c>
      <c r="N182" s="3" t="s">
        <v>30</v>
      </c>
      <c r="O182" s="3">
        <v>89.08</v>
      </c>
      <c r="P182" s="3" t="s">
        <v>2617</v>
      </c>
      <c r="Q182" s="24" t="str">
        <f>_xlfn.XLOOKUP(C182,[1]DailyCommercialOfferData!$A$2:$A$164,[1]DailyCommercialOfferData!$C$2:$C$164,0)</f>
        <v>83.15</v>
      </c>
      <c r="R182" s="3">
        <f t="shared" si="2"/>
        <v>89.08</v>
      </c>
    </row>
    <row r="183" spans="1:18" x14ac:dyDescent="0.3">
      <c r="A183" s="3" t="s">
        <v>467</v>
      </c>
      <c r="B183" s="4" t="s">
        <v>2623</v>
      </c>
      <c r="C183" s="19" t="s">
        <v>2622</v>
      </c>
      <c r="D183" s="19" t="s">
        <v>2621</v>
      </c>
      <c r="E183" s="3" t="s">
        <v>3167</v>
      </c>
      <c r="F183" s="3"/>
      <c r="G183" s="3"/>
      <c r="H183" s="3" t="s">
        <v>3159</v>
      </c>
      <c r="I183" s="3" t="s">
        <v>2037</v>
      </c>
      <c r="J183" s="3">
        <v>1</v>
      </c>
      <c r="K183" s="3">
        <v>0</v>
      </c>
      <c r="L183" s="4">
        <v>100</v>
      </c>
      <c r="M183" s="3" t="s">
        <v>2042</v>
      </c>
      <c r="N183" s="3" t="s">
        <v>28</v>
      </c>
      <c r="O183" s="3">
        <v>0</v>
      </c>
      <c r="P183" s="3">
        <v>0</v>
      </c>
      <c r="Q183" s="24">
        <v>9000</v>
      </c>
      <c r="R183" s="3">
        <f t="shared" si="2"/>
        <v>0</v>
      </c>
    </row>
    <row r="184" spans="1:18" x14ac:dyDescent="0.3">
      <c r="A184" s="3" t="s">
        <v>481</v>
      </c>
      <c r="B184" s="4" t="s">
        <v>2626</v>
      </c>
      <c r="C184" s="19" t="s">
        <v>2625</v>
      </c>
      <c r="D184" s="19" t="s">
        <v>2624</v>
      </c>
      <c r="E184" s="3" t="s">
        <v>3167</v>
      </c>
      <c r="F184" s="3"/>
      <c r="G184" s="3"/>
      <c r="H184" s="3" t="s">
        <v>3160</v>
      </c>
      <c r="I184" s="3" t="s">
        <v>2037</v>
      </c>
      <c r="J184" s="3">
        <v>1</v>
      </c>
      <c r="K184" s="3">
        <v>0</v>
      </c>
      <c r="L184" s="4">
        <v>33.6</v>
      </c>
      <c r="M184" s="3" t="s">
        <v>2042</v>
      </c>
      <c r="N184" s="3" t="s">
        <v>28</v>
      </c>
      <c r="O184" s="3">
        <v>0</v>
      </c>
      <c r="P184" s="3">
        <v>0</v>
      </c>
      <c r="Q184" s="24">
        <v>9000</v>
      </c>
      <c r="R184" s="3">
        <f t="shared" si="2"/>
        <v>0</v>
      </c>
    </row>
    <row r="185" spans="1:18" x14ac:dyDescent="0.3">
      <c r="A185" s="3" t="s">
        <v>328</v>
      </c>
      <c r="B185" s="4" t="s">
        <v>2629</v>
      </c>
      <c r="C185" s="19" t="s">
        <v>2628</v>
      </c>
      <c r="D185" s="19" t="s">
        <v>2627</v>
      </c>
      <c r="E185" s="3" t="s">
        <v>3167</v>
      </c>
      <c r="F185" s="3"/>
      <c r="G185" s="3"/>
      <c r="H185" s="3" t="s">
        <v>3135</v>
      </c>
      <c r="I185" s="3" t="s">
        <v>2037</v>
      </c>
      <c r="J185" s="3">
        <v>1</v>
      </c>
      <c r="K185" s="3">
        <v>0</v>
      </c>
      <c r="L185" s="4">
        <v>101</v>
      </c>
      <c r="M185" s="3" t="s">
        <v>2042</v>
      </c>
      <c r="N185" s="3" t="s">
        <v>28</v>
      </c>
      <c r="O185" s="3">
        <v>0</v>
      </c>
      <c r="P185" s="3">
        <v>0</v>
      </c>
      <c r="Q185" s="24">
        <v>9000</v>
      </c>
      <c r="R185" s="3">
        <f t="shared" si="2"/>
        <v>0</v>
      </c>
    </row>
    <row r="186" spans="1:18" x14ac:dyDescent="0.3">
      <c r="A186" s="3" t="s">
        <v>505</v>
      </c>
      <c r="B186" s="4" t="s">
        <v>2632</v>
      </c>
      <c r="C186" s="19" t="s">
        <v>2631</v>
      </c>
      <c r="D186" s="19" t="s">
        <v>2630</v>
      </c>
      <c r="E186" s="3" t="s">
        <v>3167</v>
      </c>
      <c r="F186" s="3"/>
      <c r="G186" s="3"/>
      <c r="H186" s="3" t="s">
        <v>3135</v>
      </c>
      <c r="I186" s="3" t="s">
        <v>2037</v>
      </c>
      <c r="J186" s="3">
        <v>1</v>
      </c>
      <c r="K186" s="3">
        <v>0</v>
      </c>
      <c r="L186" s="4">
        <v>2.34</v>
      </c>
      <c r="M186" s="3" t="s">
        <v>2042</v>
      </c>
      <c r="N186" s="3" t="s">
        <v>28</v>
      </c>
      <c r="O186" s="3">
        <v>0</v>
      </c>
      <c r="P186" s="3">
        <v>0</v>
      </c>
      <c r="Q186" s="24">
        <v>9000</v>
      </c>
      <c r="R186" s="3">
        <f t="shared" si="2"/>
        <v>0</v>
      </c>
    </row>
    <row r="187" spans="1:18" x14ac:dyDescent="0.3">
      <c r="A187" s="3" t="s">
        <v>505</v>
      </c>
      <c r="B187" s="4" t="s">
        <v>2635</v>
      </c>
      <c r="C187" s="19" t="s">
        <v>2634</v>
      </c>
      <c r="D187" s="19" t="s">
        <v>2633</v>
      </c>
      <c r="E187" s="3" t="s">
        <v>3167</v>
      </c>
      <c r="F187" s="3"/>
      <c r="G187" s="3"/>
      <c r="H187" s="3" t="s">
        <v>3135</v>
      </c>
      <c r="I187" s="3" t="s">
        <v>2037</v>
      </c>
      <c r="J187" s="3">
        <v>1</v>
      </c>
      <c r="K187" s="3">
        <v>0</v>
      </c>
      <c r="L187" s="4">
        <v>91.2</v>
      </c>
      <c r="M187" s="3" t="s">
        <v>2042</v>
      </c>
      <c r="N187" s="3" t="s">
        <v>28</v>
      </c>
      <c r="O187" s="3">
        <v>0</v>
      </c>
      <c r="P187" s="3">
        <v>0</v>
      </c>
      <c r="Q187" s="24">
        <v>9000</v>
      </c>
      <c r="R187" s="3">
        <f t="shared" si="2"/>
        <v>0</v>
      </c>
    </row>
    <row r="188" spans="1:18" x14ac:dyDescent="0.3">
      <c r="A188" s="3" t="s">
        <v>526</v>
      </c>
      <c r="B188" s="4" t="s">
        <v>2638</v>
      </c>
      <c r="C188" s="19" t="s">
        <v>2637</v>
      </c>
      <c r="D188" s="19" t="s">
        <v>2636</v>
      </c>
      <c r="E188" s="3" t="s">
        <v>33</v>
      </c>
      <c r="F188" s="3"/>
      <c r="G188" s="3"/>
      <c r="H188" s="3" t="s">
        <v>3135</v>
      </c>
      <c r="I188" s="3" t="s">
        <v>2037</v>
      </c>
      <c r="J188" s="3">
        <v>0</v>
      </c>
      <c r="K188" s="3">
        <v>0</v>
      </c>
      <c r="L188" s="4">
        <v>0</v>
      </c>
      <c r="M188" s="12" t="s">
        <v>2377</v>
      </c>
      <c r="N188" s="3" t="s">
        <v>30</v>
      </c>
      <c r="O188" s="3">
        <v>0</v>
      </c>
      <c r="P188" s="3">
        <v>0</v>
      </c>
      <c r="Q188" s="24">
        <v>7000</v>
      </c>
      <c r="R188" s="3">
        <f t="shared" si="2"/>
        <v>0</v>
      </c>
    </row>
    <row r="189" spans="1:18" x14ac:dyDescent="0.3">
      <c r="A189" s="3" t="s">
        <v>528</v>
      </c>
      <c r="B189" s="4" t="s">
        <v>2641</v>
      </c>
      <c r="C189" s="19" t="s">
        <v>2640</v>
      </c>
      <c r="D189" s="19" t="s">
        <v>2639</v>
      </c>
      <c r="E189" s="3" t="s">
        <v>3167</v>
      </c>
      <c r="F189" s="3"/>
      <c r="G189" s="3"/>
      <c r="H189" s="3" t="s">
        <v>3142</v>
      </c>
      <c r="I189" s="3" t="s">
        <v>2037</v>
      </c>
      <c r="J189" s="3">
        <v>1</v>
      </c>
      <c r="K189" s="3">
        <v>0</v>
      </c>
      <c r="L189" s="4">
        <v>16.100000000000001</v>
      </c>
      <c r="M189" s="3" t="s">
        <v>2042</v>
      </c>
      <c r="N189" s="3" t="s">
        <v>28</v>
      </c>
      <c r="O189" s="3">
        <v>0</v>
      </c>
      <c r="P189" s="3">
        <v>0</v>
      </c>
      <c r="Q189" s="24">
        <v>9000</v>
      </c>
      <c r="R189" s="3">
        <f t="shared" si="2"/>
        <v>0</v>
      </c>
    </row>
    <row r="190" spans="1:18" x14ac:dyDescent="0.3">
      <c r="A190" s="3" t="s">
        <v>546</v>
      </c>
      <c r="B190" s="4" t="s">
        <v>2644</v>
      </c>
      <c r="C190" s="19" t="s">
        <v>2643</v>
      </c>
      <c r="D190" s="19" t="s">
        <v>2642</v>
      </c>
      <c r="E190" s="3" t="s">
        <v>3167</v>
      </c>
      <c r="F190" s="3"/>
      <c r="G190" s="3"/>
      <c r="H190" s="3" t="s">
        <v>3144</v>
      </c>
      <c r="I190" s="3" t="s">
        <v>2037</v>
      </c>
      <c r="J190" s="3">
        <v>1</v>
      </c>
      <c r="K190" s="3">
        <v>0</v>
      </c>
      <c r="L190" s="4">
        <v>30.1</v>
      </c>
      <c r="M190" s="3" t="s">
        <v>2042</v>
      </c>
      <c r="N190" s="3" t="s">
        <v>28</v>
      </c>
      <c r="O190" s="3">
        <v>0</v>
      </c>
      <c r="P190" s="3">
        <v>0</v>
      </c>
      <c r="Q190" s="24">
        <v>9000</v>
      </c>
      <c r="R190" s="3">
        <f t="shared" si="2"/>
        <v>0</v>
      </c>
    </row>
    <row r="191" spans="1:18" x14ac:dyDescent="0.3">
      <c r="A191" s="3" t="s">
        <v>530</v>
      </c>
      <c r="B191" s="4" t="s">
        <v>2647</v>
      </c>
      <c r="C191" s="19" t="s">
        <v>2646</v>
      </c>
      <c r="D191" s="19" t="s">
        <v>2645</v>
      </c>
      <c r="E191" s="3" t="s">
        <v>3167</v>
      </c>
      <c r="F191" s="3"/>
      <c r="G191" s="3"/>
      <c r="H191" s="3" t="s">
        <v>3135</v>
      </c>
      <c r="I191" s="3" t="s">
        <v>2037</v>
      </c>
      <c r="J191" s="3">
        <v>1</v>
      </c>
      <c r="K191" s="3">
        <v>0</v>
      </c>
      <c r="L191" s="4">
        <v>15</v>
      </c>
      <c r="M191" s="3" t="s">
        <v>2042</v>
      </c>
      <c r="N191" s="3" t="s">
        <v>28</v>
      </c>
      <c r="O191" s="3">
        <v>0</v>
      </c>
      <c r="P191" s="3">
        <v>0</v>
      </c>
      <c r="Q191" s="24">
        <v>9000</v>
      </c>
      <c r="R191" s="3">
        <f t="shared" si="2"/>
        <v>0</v>
      </c>
    </row>
    <row r="192" spans="1:18" x14ac:dyDescent="0.3">
      <c r="A192" s="3" t="s">
        <v>530</v>
      </c>
      <c r="B192" s="4" t="s">
        <v>2650</v>
      </c>
      <c r="C192" s="19" t="s">
        <v>2649</v>
      </c>
      <c r="D192" s="19" t="s">
        <v>2648</v>
      </c>
      <c r="E192" s="3" t="s">
        <v>3167</v>
      </c>
      <c r="F192" s="3"/>
      <c r="G192" s="3"/>
      <c r="H192" s="3" t="s">
        <v>3135</v>
      </c>
      <c r="I192" s="3" t="s">
        <v>2037</v>
      </c>
      <c r="J192" s="3">
        <v>1</v>
      </c>
      <c r="K192" s="3">
        <v>0</v>
      </c>
      <c r="L192" s="4">
        <v>11.88</v>
      </c>
      <c r="M192" s="3" t="s">
        <v>2042</v>
      </c>
      <c r="N192" s="3" t="s">
        <v>28</v>
      </c>
      <c r="O192" s="3">
        <v>0</v>
      </c>
      <c r="P192" s="3">
        <v>0</v>
      </c>
      <c r="Q192" s="24">
        <v>9000</v>
      </c>
      <c r="R192" s="3">
        <f t="shared" si="2"/>
        <v>0</v>
      </c>
    </row>
    <row r="193" spans="1:18" x14ac:dyDescent="0.3">
      <c r="A193" s="3" t="s">
        <v>530</v>
      </c>
      <c r="B193" s="4" t="s">
        <v>2653</v>
      </c>
      <c r="C193" s="19" t="s">
        <v>2652</v>
      </c>
      <c r="D193" s="19" t="s">
        <v>2651</v>
      </c>
      <c r="E193" s="3" t="s">
        <v>3167</v>
      </c>
      <c r="F193" s="3"/>
      <c r="G193" s="3"/>
      <c r="H193" s="3" t="s">
        <v>3135</v>
      </c>
      <c r="I193" s="3" t="s">
        <v>2037</v>
      </c>
      <c r="J193" s="3">
        <v>1</v>
      </c>
      <c r="K193" s="3">
        <v>0</v>
      </c>
      <c r="L193" s="4">
        <v>14</v>
      </c>
      <c r="M193" s="3" t="s">
        <v>2042</v>
      </c>
      <c r="N193" s="3" t="s">
        <v>28</v>
      </c>
      <c r="O193" s="3">
        <v>0</v>
      </c>
      <c r="P193" s="3">
        <v>0</v>
      </c>
      <c r="Q193" s="24">
        <v>9000</v>
      </c>
      <c r="R193" s="3">
        <f t="shared" si="2"/>
        <v>0</v>
      </c>
    </row>
    <row r="194" spans="1:18" x14ac:dyDescent="0.3">
      <c r="A194" s="3" t="s">
        <v>530</v>
      </c>
      <c r="B194" s="4" t="s">
        <v>2656</v>
      </c>
      <c r="C194" s="19" t="s">
        <v>2655</v>
      </c>
      <c r="D194" s="19" t="s">
        <v>2654</v>
      </c>
      <c r="E194" s="3" t="s">
        <v>3167</v>
      </c>
      <c r="F194" s="3"/>
      <c r="G194" s="3"/>
      <c r="H194" s="3" t="s">
        <v>3135</v>
      </c>
      <c r="I194" s="3" t="s">
        <v>2037</v>
      </c>
      <c r="J194" s="3">
        <v>1</v>
      </c>
      <c r="K194" s="3">
        <v>0</v>
      </c>
      <c r="L194" s="4">
        <v>38.9</v>
      </c>
      <c r="M194" s="3" t="s">
        <v>2042</v>
      </c>
      <c r="N194" s="3" t="s">
        <v>28</v>
      </c>
      <c r="O194" s="3">
        <v>0</v>
      </c>
      <c r="P194" s="3">
        <v>0</v>
      </c>
      <c r="Q194" s="24">
        <v>9000</v>
      </c>
      <c r="R194" s="3">
        <f t="shared" si="2"/>
        <v>0</v>
      </c>
    </row>
    <row r="195" spans="1:18" x14ac:dyDescent="0.3">
      <c r="A195" s="3" t="s">
        <v>537</v>
      </c>
      <c r="B195" s="4" t="s">
        <v>2659</v>
      </c>
      <c r="C195" s="19" t="s">
        <v>2658</v>
      </c>
      <c r="D195" s="19" t="s">
        <v>2657</v>
      </c>
      <c r="E195" s="3" t="s">
        <v>3167</v>
      </c>
      <c r="F195" s="3"/>
      <c r="G195" s="3"/>
      <c r="H195" s="3" t="s">
        <v>3145</v>
      </c>
      <c r="I195" s="3" t="s">
        <v>2037</v>
      </c>
      <c r="J195" s="3">
        <v>1</v>
      </c>
      <c r="K195" s="3">
        <v>0</v>
      </c>
      <c r="L195" s="4">
        <v>26</v>
      </c>
      <c r="M195" s="3" t="s">
        <v>2042</v>
      </c>
      <c r="N195" s="3" t="s">
        <v>28</v>
      </c>
      <c r="O195" s="3">
        <v>0</v>
      </c>
      <c r="P195" s="3">
        <v>0</v>
      </c>
      <c r="Q195" s="24">
        <v>9000</v>
      </c>
      <c r="R195" s="3">
        <f t="shared" ref="R195:R258" si="3">O195</f>
        <v>0</v>
      </c>
    </row>
    <row r="196" spans="1:18" x14ac:dyDescent="0.3">
      <c r="A196" s="3" t="s">
        <v>537</v>
      </c>
      <c r="B196" s="4" t="s">
        <v>2662</v>
      </c>
      <c r="C196" s="19" t="s">
        <v>2661</v>
      </c>
      <c r="D196" s="19" t="s">
        <v>2660</v>
      </c>
      <c r="E196" s="3" t="s">
        <v>3167</v>
      </c>
      <c r="F196" s="3"/>
      <c r="G196" s="3"/>
      <c r="H196" s="3" t="s">
        <v>3145</v>
      </c>
      <c r="I196" s="3" t="s">
        <v>2037</v>
      </c>
      <c r="J196" s="3">
        <v>1</v>
      </c>
      <c r="K196" s="3">
        <v>0</v>
      </c>
      <c r="L196" s="4">
        <v>11.7</v>
      </c>
      <c r="M196" s="3" t="s">
        <v>2042</v>
      </c>
      <c r="N196" s="3" t="s">
        <v>28</v>
      </c>
      <c r="O196" s="3">
        <v>0</v>
      </c>
      <c r="P196" s="3">
        <v>0</v>
      </c>
      <c r="Q196" s="24">
        <v>9000</v>
      </c>
      <c r="R196" s="3">
        <f t="shared" si="3"/>
        <v>0</v>
      </c>
    </row>
    <row r="197" spans="1:18" x14ac:dyDescent="0.3">
      <c r="A197" s="3" t="s">
        <v>541</v>
      </c>
      <c r="B197" s="4" t="s">
        <v>2665</v>
      </c>
      <c r="C197" s="19" t="s">
        <v>2664</v>
      </c>
      <c r="D197" s="19" t="s">
        <v>2663</v>
      </c>
      <c r="E197" s="3" t="s">
        <v>33</v>
      </c>
      <c r="F197" s="3"/>
      <c r="G197" s="3"/>
      <c r="H197" s="3" t="s">
        <v>3142</v>
      </c>
      <c r="I197" s="3" t="s">
        <v>2037</v>
      </c>
      <c r="J197" s="3">
        <v>1</v>
      </c>
      <c r="K197" s="3">
        <v>0</v>
      </c>
      <c r="L197" s="4">
        <v>3.0209999999999999</v>
      </c>
      <c r="M197" s="3" t="s">
        <v>2142</v>
      </c>
      <c r="N197" s="3" t="s">
        <v>30</v>
      </c>
      <c r="O197" s="3">
        <v>0</v>
      </c>
      <c r="P197" s="3">
        <v>0</v>
      </c>
      <c r="Q197" s="24">
        <f>_xlfn.XLOOKUP(C197,[1]DailyCommercialOfferData!$A$2:$A$164,[1]DailyCommercialOfferData!$C$2:$C$164,0)</f>
        <v>0</v>
      </c>
      <c r="R197" s="3">
        <f t="shared" si="3"/>
        <v>0</v>
      </c>
    </row>
    <row r="198" spans="1:18" x14ac:dyDescent="0.3">
      <c r="A198" s="3" t="s">
        <v>541</v>
      </c>
      <c r="B198" s="4" t="s">
        <v>2668</v>
      </c>
      <c r="C198" s="19" t="s">
        <v>2667</v>
      </c>
      <c r="D198" s="19" t="s">
        <v>2666</v>
      </c>
      <c r="E198" s="3" t="s">
        <v>3167</v>
      </c>
      <c r="F198" s="3"/>
      <c r="G198" s="3"/>
      <c r="H198" s="3" t="s">
        <v>3142</v>
      </c>
      <c r="I198" s="3" t="s">
        <v>2037</v>
      </c>
      <c r="J198" s="3">
        <v>1</v>
      </c>
      <c r="K198" s="3">
        <v>0</v>
      </c>
      <c r="L198" s="4">
        <v>25.2</v>
      </c>
      <c r="M198" s="3" t="s">
        <v>2160</v>
      </c>
      <c r="N198" s="3" t="s">
        <v>28</v>
      </c>
      <c r="O198" s="3">
        <v>0</v>
      </c>
      <c r="P198" s="3">
        <v>0</v>
      </c>
      <c r="Q198" s="24">
        <v>9000</v>
      </c>
      <c r="R198" s="3">
        <f t="shared" si="3"/>
        <v>0</v>
      </c>
    </row>
    <row r="199" spans="1:18" x14ac:dyDescent="0.3">
      <c r="A199" s="3" t="s">
        <v>541</v>
      </c>
      <c r="B199" s="4" t="s">
        <v>2671</v>
      </c>
      <c r="C199" s="19" t="s">
        <v>2670</v>
      </c>
      <c r="D199" s="19" t="s">
        <v>2669</v>
      </c>
      <c r="E199" s="3" t="s">
        <v>3167</v>
      </c>
      <c r="F199" s="3"/>
      <c r="G199" s="3"/>
      <c r="H199" s="3" t="s">
        <v>3142</v>
      </c>
      <c r="I199" s="3" t="s">
        <v>2037</v>
      </c>
      <c r="J199" s="3">
        <v>1</v>
      </c>
      <c r="K199" s="3">
        <v>0</v>
      </c>
      <c r="L199" s="4">
        <v>16.920000000000002</v>
      </c>
      <c r="M199" s="3" t="s">
        <v>2160</v>
      </c>
      <c r="N199" s="3" t="s">
        <v>28</v>
      </c>
      <c r="O199" s="3">
        <v>0</v>
      </c>
      <c r="P199" s="3">
        <v>0</v>
      </c>
      <c r="Q199" s="24">
        <v>9000</v>
      </c>
      <c r="R199" s="3">
        <f t="shared" si="3"/>
        <v>0</v>
      </c>
    </row>
    <row r="200" spans="1:18" x14ac:dyDescent="0.3">
      <c r="A200" s="3" t="s">
        <v>541</v>
      </c>
      <c r="B200" s="4" t="s">
        <v>2674</v>
      </c>
      <c r="C200" s="19" t="s">
        <v>2673</v>
      </c>
      <c r="D200" s="19" t="s">
        <v>2672</v>
      </c>
      <c r="E200" s="3" t="s">
        <v>3167</v>
      </c>
      <c r="F200" s="3"/>
      <c r="G200" s="3"/>
      <c r="H200" s="3" t="s">
        <v>3142</v>
      </c>
      <c r="I200" s="3" t="s">
        <v>2037</v>
      </c>
      <c r="J200" s="3">
        <v>1</v>
      </c>
      <c r="K200" s="3">
        <v>0</v>
      </c>
      <c r="L200" s="4">
        <v>20.43</v>
      </c>
      <c r="M200" s="3" t="s">
        <v>2160</v>
      </c>
      <c r="N200" s="3" t="s">
        <v>28</v>
      </c>
      <c r="O200" s="3">
        <v>0</v>
      </c>
      <c r="P200" s="3">
        <v>0</v>
      </c>
      <c r="Q200" s="24">
        <v>9000</v>
      </c>
      <c r="R200" s="3">
        <f t="shared" si="3"/>
        <v>0</v>
      </c>
    </row>
    <row r="201" spans="1:18" x14ac:dyDescent="0.3">
      <c r="A201" s="3" t="s">
        <v>559</v>
      </c>
      <c r="B201" s="4" t="s">
        <v>2677</v>
      </c>
      <c r="C201" s="19" t="s">
        <v>2676</v>
      </c>
      <c r="D201" s="19" t="s">
        <v>2675</v>
      </c>
      <c r="E201" s="3" t="s">
        <v>3167</v>
      </c>
      <c r="F201" s="3"/>
      <c r="G201" s="3"/>
      <c r="H201" s="3" t="s">
        <v>3161</v>
      </c>
      <c r="I201" s="3" t="s">
        <v>2037</v>
      </c>
      <c r="J201" s="3">
        <v>1</v>
      </c>
      <c r="K201" s="3">
        <v>0</v>
      </c>
      <c r="L201" s="4">
        <v>40</v>
      </c>
      <c r="M201" s="3" t="s">
        <v>2042</v>
      </c>
      <c r="N201" s="3" t="s">
        <v>28</v>
      </c>
      <c r="O201" s="3">
        <v>0</v>
      </c>
      <c r="P201" s="3">
        <v>0</v>
      </c>
      <c r="Q201" s="24">
        <v>9000</v>
      </c>
      <c r="R201" s="3">
        <f t="shared" si="3"/>
        <v>0</v>
      </c>
    </row>
    <row r="202" spans="1:18" x14ac:dyDescent="0.3">
      <c r="A202" s="3" t="s">
        <v>559</v>
      </c>
      <c r="B202" s="4" t="s">
        <v>2680</v>
      </c>
      <c r="C202" s="19" t="s">
        <v>2679</v>
      </c>
      <c r="D202" s="19" t="s">
        <v>2678</v>
      </c>
      <c r="E202" s="3" t="s">
        <v>3167</v>
      </c>
      <c r="F202" s="3"/>
      <c r="G202" s="3"/>
      <c r="H202" s="3" t="s">
        <v>3161</v>
      </c>
      <c r="I202" s="3" t="s">
        <v>2037</v>
      </c>
      <c r="J202" s="3">
        <v>1</v>
      </c>
      <c r="K202" s="3">
        <v>0</v>
      </c>
      <c r="L202" s="4">
        <v>36</v>
      </c>
      <c r="M202" s="3" t="s">
        <v>2042</v>
      </c>
      <c r="N202" s="3" t="s">
        <v>28</v>
      </c>
      <c r="O202" s="3">
        <v>0</v>
      </c>
      <c r="P202" s="3">
        <v>0</v>
      </c>
      <c r="Q202" s="24">
        <v>9000</v>
      </c>
      <c r="R202" s="3">
        <f t="shared" si="3"/>
        <v>0</v>
      </c>
    </row>
    <row r="203" spans="1:18" x14ac:dyDescent="0.3">
      <c r="A203" s="3" t="s">
        <v>559</v>
      </c>
      <c r="B203" s="4" t="s">
        <v>2683</v>
      </c>
      <c r="C203" s="19" t="s">
        <v>2682</v>
      </c>
      <c r="D203" s="19" t="s">
        <v>2681</v>
      </c>
      <c r="E203" s="3" t="s">
        <v>3167</v>
      </c>
      <c r="F203" s="3"/>
      <c r="G203" s="3"/>
      <c r="H203" s="3" t="s">
        <v>3161</v>
      </c>
      <c r="I203" s="3" t="s">
        <v>2037</v>
      </c>
      <c r="J203" s="3">
        <v>1</v>
      </c>
      <c r="K203" s="3">
        <v>0</v>
      </c>
      <c r="L203" s="4">
        <v>23</v>
      </c>
      <c r="M203" s="3" t="s">
        <v>2042</v>
      </c>
      <c r="N203" s="3" t="s">
        <v>28</v>
      </c>
      <c r="O203" s="3">
        <v>0</v>
      </c>
      <c r="P203" s="3">
        <v>0</v>
      </c>
      <c r="Q203" s="24">
        <v>9000</v>
      </c>
      <c r="R203" s="3">
        <f t="shared" si="3"/>
        <v>0</v>
      </c>
    </row>
    <row r="204" spans="1:18" x14ac:dyDescent="0.3">
      <c r="A204" s="3" t="s">
        <v>559</v>
      </c>
      <c r="B204" s="4" t="s">
        <v>2686</v>
      </c>
      <c r="C204" s="19" t="s">
        <v>2685</v>
      </c>
      <c r="D204" s="19" t="s">
        <v>2684</v>
      </c>
      <c r="E204" s="3" t="s">
        <v>3167</v>
      </c>
      <c r="F204" s="3"/>
      <c r="G204" s="3"/>
      <c r="H204" s="3" t="s">
        <v>3161</v>
      </c>
      <c r="I204" s="3" t="s">
        <v>2037</v>
      </c>
      <c r="J204" s="3">
        <v>1</v>
      </c>
      <c r="K204" s="3">
        <v>0</v>
      </c>
      <c r="L204" s="4">
        <v>28.8</v>
      </c>
      <c r="M204" s="3" t="s">
        <v>2042</v>
      </c>
      <c r="N204" s="3" t="s">
        <v>28</v>
      </c>
      <c r="O204" s="3">
        <v>0</v>
      </c>
      <c r="P204" s="3">
        <v>0</v>
      </c>
      <c r="Q204" s="24">
        <v>9000</v>
      </c>
      <c r="R204" s="3">
        <f t="shared" si="3"/>
        <v>0</v>
      </c>
    </row>
    <row r="205" spans="1:18" x14ac:dyDescent="0.3">
      <c r="A205" s="3" t="s">
        <v>556</v>
      </c>
      <c r="B205" s="4" t="s">
        <v>2689</v>
      </c>
      <c r="C205" s="19" t="s">
        <v>2688</v>
      </c>
      <c r="D205" s="19" t="s">
        <v>2687</v>
      </c>
      <c r="E205" s="3" t="s">
        <v>3167</v>
      </c>
      <c r="F205" s="3"/>
      <c r="G205" s="3"/>
      <c r="H205" s="3" t="s">
        <v>3162</v>
      </c>
      <c r="I205" s="3" t="s">
        <v>2037</v>
      </c>
      <c r="J205" s="3">
        <v>1</v>
      </c>
      <c r="K205" s="3">
        <v>0</v>
      </c>
      <c r="L205" s="4">
        <v>48.8</v>
      </c>
      <c r="M205" s="3" t="s">
        <v>2042</v>
      </c>
      <c r="N205" s="3" t="s">
        <v>28</v>
      </c>
      <c r="O205" s="3">
        <v>0</v>
      </c>
      <c r="P205" s="3">
        <v>0</v>
      </c>
      <c r="Q205" s="24">
        <v>9000</v>
      </c>
      <c r="R205" s="3">
        <f t="shared" si="3"/>
        <v>0</v>
      </c>
    </row>
    <row r="206" spans="1:18" x14ac:dyDescent="0.3">
      <c r="A206" s="3" t="s">
        <v>561</v>
      </c>
      <c r="B206" s="4" t="s">
        <v>2692</v>
      </c>
      <c r="C206" s="19" t="s">
        <v>2691</v>
      </c>
      <c r="D206" s="19" t="s">
        <v>2690</v>
      </c>
      <c r="E206" s="3" t="s">
        <v>3167</v>
      </c>
      <c r="F206" s="3"/>
      <c r="G206" s="3"/>
      <c r="H206" s="3" t="s">
        <v>3135</v>
      </c>
      <c r="I206" s="3" t="s">
        <v>2037</v>
      </c>
      <c r="J206" s="3">
        <v>1</v>
      </c>
      <c r="K206" s="3">
        <v>0</v>
      </c>
      <c r="L206" s="4">
        <v>15</v>
      </c>
      <c r="M206" s="3" t="s">
        <v>2042</v>
      </c>
      <c r="N206" s="3" t="s">
        <v>28</v>
      </c>
      <c r="O206" s="3">
        <v>0</v>
      </c>
      <c r="P206" s="3">
        <v>0</v>
      </c>
      <c r="Q206" s="24">
        <v>9000</v>
      </c>
      <c r="R206" s="3">
        <f t="shared" si="3"/>
        <v>0</v>
      </c>
    </row>
    <row r="207" spans="1:18" x14ac:dyDescent="0.3">
      <c r="A207" s="3" t="s">
        <v>561</v>
      </c>
      <c r="B207" s="4" t="s">
        <v>2695</v>
      </c>
      <c r="C207" s="19" t="s">
        <v>2694</v>
      </c>
      <c r="D207" s="19" t="s">
        <v>2693</v>
      </c>
      <c r="E207" s="3" t="s">
        <v>3167</v>
      </c>
      <c r="F207" s="3"/>
      <c r="G207" s="3"/>
      <c r="H207" s="3" t="s">
        <v>3135</v>
      </c>
      <c r="I207" s="3" t="s">
        <v>2037</v>
      </c>
      <c r="J207" s="3">
        <v>1</v>
      </c>
      <c r="K207" s="3">
        <v>0</v>
      </c>
      <c r="L207" s="4">
        <v>9.1999999999999993</v>
      </c>
      <c r="M207" s="3" t="s">
        <v>2042</v>
      </c>
      <c r="N207" s="3" t="s">
        <v>28</v>
      </c>
      <c r="O207" s="3">
        <v>0</v>
      </c>
      <c r="P207" s="3">
        <v>0</v>
      </c>
      <c r="Q207" s="24">
        <v>9000</v>
      </c>
      <c r="R207" s="3">
        <f t="shared" si="3"/>
        <v>0</v>
      </c>
    </row>
    <row r="208" spans="1:18" x14ac:dyDescent="0.3">
      <c r="A208" s="3" t="s">
        <v>561</v>
      </c>
      <c r="B208" s="4" t="s">
        <v>2698</v>
      </c>
      <c r="C208" s="19" t="s">
        <v>2697</v>
      </c>
      <c r="D208" s="19" t="s">
        <v>2696</v>
      </c>
      <c r="E208" s="3" t="s">
        <v>3167</v>
      </c>
      <c r="F208" s="3"/>
      <c r="G208" s="3"/>
      <c r="H208" s="3" t="s">
        <v>3135</v>
      </c>
      <c r="I208" s="3" t="s">
        <v>2037</v>
      </c>
      <c r="J208" s="3">
        <v>1</v>
      </c>
      <c r="K208" s="3">
        <v>0</v>
      </c>
      <c r="L208" s="4">
        <v>41.4</v>
      </c>
      <c r="M208" s="3" t="s">
        <v>2042</v>
      </c>
      <c r="N208" s="3" t="s">
        <v>28</v>
      </c>
      <c r="O208" s="3">
        <v>0</v>
      </c>
      <c r="P208" s="3">
        <v>0</v>
      </c>
      <c r="Q208" s="24">
        <v>9000</v>
      </c>
      <c r="R208" s="3">
        <f t="shared" si="3"/>
        <v>0</v>
      </c>
    </row>
    <row r="209" spans="1:18" x14ac:dyDescent="0.3">
      <c r="A209" s="3" t="s">
        <v>561</v>
      </c>
      <c r="B209" s="4" t="s">
        <v>2701</v>
      </c>
      <c r="C209" s="19" t="s">
        <v>2700</v>
      </c>
      <c r="D209" s="19" t="s">
        <v>2699</v>
      </c>
      <c r="E209" s="3" t="s">
        <v>3167</v>
      </c>
      <c r="F209" s="3"/>
      <c r="G209" s="3"/>
      <c r="H209" s="3" t="s">
        <v>3135</v>
      </c>
      <c r="I209" s="3" t="s">
        <v>2037</v>
      </c>
      <c r="J209" s="3">
        <v>1</v>
      </c>
      <c r="K209" s="3">
        <v>0</v>
      </c>
      <c r="L209" s="4">
        <v>14.8</v>
      </c>
      <c r="M209" s="3" t="s">
        <v>2042</v>
      </c>
      <c r="N209" s="3" t="s">
        <v>28</v>
      </c>
      <c r="O209" s="3">
        <v>0</v>
      </c>
      <c r="P209" s="3">
        <v>0</v>
      </c>
      <c r="Q209" s="24">
        <v>9000</v>
      </c>
      <c r="R209" s="3">
        <f t="shared" si="3"/>
        <v>0</v>
      </c>
    </row>
    <row r="210" spans="1:18" x14ac:dyDescent="0.3">
      <c r="A210" s="3" t="s">
        <v>547</v>
      </c>
      <c r="B210" s="4" t="s">
        <v>2704</v>
      </c>
      <c r="C210" s="19" t="s">
        <v>2703</v>
      </c>
      <c r="D210" s="19" t="s">
        <v>2702</v>
      </c>
      <c r="E210" s="3" t="s">
        <v>3167</v>
      </c>
      <c r="F210" s="3"/>
      <c r="G210" s="3"/>
      <c r="H210" s="3" t="s">
        <v>3145</v>
      </c>
      <c r="I210" s="3" t="s">
        <v>2037</v>
      </c>
      <c r="J210" s="3">
        <v>1</v>
      </c>
      <c r="K210" s="3">
        <v>0</v>
      </c>
      <c r="L210" s="4">
        <v>9.1999999999999993</v>
      </c>
      <c r="M210" s="3" t="s">
        <v>2042</v>
      </c>
      <c r="N210" s="3" t="s">
        <v>28</v>
      </c>
      <c r="O210" s="3">
        <v>0</v>
      </c>
      <c r="P210" s="3">
        <v>0</v>
      </c>
      <c r="Q210" s="24">
        <v>9000</v>
      </c>
      <c r="R210" s="3">
        <f t="shared" si="3"/>
        <v>0</v>
      </c>
    </row>
    <row r="211" spans="1:18" x14ac:dyDescent="0.3">
      <c r="A211" s="3" t="s">
        <v>544</v>
      </c>
      <c r="B211" s="4" t="s">
        <v>2707</v>
      </c>
      <c r="C211" s="19" t="s">
        <v>2706</v>
      </c>
      <c r="D211" s="19" t="s">
        <v>2705</v>
      </c>
      <c r="E211" s="3" t="s">
        <v>3167</v>
      </c>
      <c r="F211" s="3"/>
      <c r="G211" s="3"/>
      <c r="H211" s="3" t="s">
        <v>3151</v>
      </c>
      <c r="I211" s="3" t="s">
        <v>2037</v>
      </c>
      <c r="J211" s="3">
        <v>1</v>
      </c>
      <c r="K211" s="3">
        <v>0</v>
      </c>
      <c r="L211" s="4">
        <v>15</v>
      </c>
      <c r="M211" s="3" t="s">
        <v>2042</v>
      </c>
      <c r="N211" s="3" t="s">
        <v>28</v>
      </c>
      <c r="O211" s="3">
        <v>0</v>
      </c>
      <c r="P211" s="3">
        <v>0</v>
      </c>
      <c r="Q211" s="24">
        <v>9000</v>
      </c>
      <c r="R211" s="3">
        <f t="shared" si="3"/>
        <v>0</v>
      </c>
    </row>
    <row r="212" spans="1:18" x14ac:dyDescent="0.3">
      <c r="A212" s="3" t="s">
        <v>532</v>
      </c>
      <c r="B212" s="4" t="s">
        <v>2710</v>
      </c>
      <c r="C212" s="19" t="s">
        <v>2709</v>
      </c>
      <c r="D212" s="19" t="s">
        <v>2708</v>
      </c>
      <c r="E212" s="3" t="s">
        <v>3167</v>
      </c>
      <c r="F212" s="3"/>
      <c r="G212" s="3"/>
      <c r="H212" s="3" t="s">
        <v>3135</v>
      </c>
      <c r="I212" s="3" t="s">
        <v>2037</v>
      </c>
      <c r="J212" s="3">
        <v>1</v>
      </c>
      <c r="K212" s="3">
        <v>0</v>
      </c>
      <c r="L212" s="4">
        <v>87</v>
      </c>
      <c r="M212" s="3" t="s">
        <v>2160</v>
      </c>
      <c r="N212" s="3" t="s">
        <v>28</v>
      </c>
      <c r="O212" s="3">
        <v>0</v>
      </c>
      <c r="P212" s="3">
        <v>0</v>
      </c>
      <c r="Q212" s="24">
        <v>9000</v>
      </c>
      <c r="R212" s="3">
        <f t="shared" si="3"/>
        <v>0</v>
      </c>
    </row>
    <row r="213" spans="1:18" x14ac:dyDescent="0.3">
      <c r="A213" s="3" t="s">
        <v>564</v>
      </c>
      <c r="B213" s="4" t="s">
        <v>2713</v>
      </c>
      <c r="C213" s="19" t="s">
        <v>2712</v>
      </c>
      <c r="D213" s="19" t="s">
        <v>2711</v>
      </c>
      <c r="E213" s="3" t="s">
        <v>3167</v>
      </c>
      <c r="F213" s="3"/>
      <c r="G213" s="3"/>
      <c r="H213" s="3" t="s">
        <v>3140</v>
      </c>
      <c r="I213" s="3" t="s">
        <v>2037</v>
      </c>
      <c r="J213" s="3">
        <v>1</v>
      </c>
      <c r="K213" s="3">
        <v>0</v>
      </c>
      <c r="L213" s="4">
        <v>24</v>
      </c>
      <c r="M213" s="3" t="s">
        <v>2042</v>
      </c>
      <c r="N213" s="3" t="s">
        <v>28</v>
      </c>
      <c r="O213" s="3">
        <v>0</v>
      </c>
      <c r="P213" s="3">
        <v>0</v>
      </c>
      <c r="Q213" s="24">
        <v>9000</v>
      </c>
      <c r="R213" s="3">
        <f t="shared" si="3"/>
        <v>0</v>
      </c>
    </row>
    <row r="214" spans="1:18" x14ac:dyDescent="0.3">
      <c r="A214" s="3" t="s">
        <v>564</v>
      </c>
      <c r="B214" s="4" t="s">
        <v>2716</v>
      </c>
      <c r="C214" s="19" t="s">
        <v>2715</v>
      </c>
      <c r="D214" s="19" t="s">
        <v>2714</v>
      </c>
      <c r="E214" s="3" t="s">
        <v>3167</v>
      </c>
      <c r="F214" s="3"/>
      <c r="G214" s="3"/>
      <c r="H214" s="3" t="s">
        <v>3140</v>
      </c>
      <c r="I214" s="3" t="s">
        <v>2037</v>
      </c>
      <c r="J214" s="3">
        <v>1</v>
      </c>
      <c r="K214" s="3">
        <v>0</v>
      </c>
      <c r="L214" s="4">
        <v>4</v>
      </c>
      <c r="M214" s="3" t="s">
        <v>2160</v>
      </c>
      <c r="N214" s="3" t="s">
        <v>28</v>
      </c>
      <c r="O214" s="3">
        <v>0</v>
      </c>
      <c r="P214" s="3">
        <v>0</v>
      </c>
      <c r="Q214" s="24">
        <v>9000</v>
      </c>
      <c r="R214" s="3">
        <f t="shared" si="3"/>
        <v>0</v>
      </c>
    </row>
    <row r="215" spans="1:18" x14ac:dyDescent="0.3">
      <c r="A215" s="3" t="s">
        <v>587</v>
      </c>
      <c r="B215" s="4" t="s">
        <v>2719</v>
      </c>
      <c r="C215" s="19" t="s">
        <v>2718</v>
      </c>
      <c r="D215" s="19" t="s">
        <v>2717</v>
      </c>
      <c r="E215" s="3" t="s">
        <v>3167</v>
      </c>
      <c r="F215" s="3"/>
      <c r="G215" s="3"/>
      <c r="H215" s="3" t="s">
        <v>3158</v>
      </c>
      <c r="I215" s="3" t="s">
        <v>2037</v>
      </c>
      <c r="J215" s="3">
        <v>1</v>
      </c>
      <c r="K215" s="3">
        <v>0</v>
      </c>
      <c r="L215" s="4">
        <v>32.200000000000003</v>
      </c>
      <c r="M215" s="3" t="s">
        <v>2042</v>
      </c>
      <c r="N215" s="3" t="s">
        <v>28</v>
      </c>
      <c r="O215" s="3">
        <v>0</v>
      </c>
      <c r="P215" s="3">
        <v>0</v>
      </c>
      <c r="Q215" s="24">
        <v>9000</v>
      </c>
      <c r="R215" s="3">
        <f t="shared" si="3"/>
        <v>0</v>
      </c>
    </row>
    <row r="216" spans="1:18" x14ac:dyDescent="0.3">
      <c r="A216" s="3" t="s">
        <v>587</v>
      </c>
      <c r="B216" s="4" t="s">
        <v>2722</v>
      </c>
      <c r="C216" s="19" t="s">
        <v>2721</v>
      </c>
      <c r="D216" s="19" t="s">
        <v>2720</v>
      </c>
      <c r="E216" s="3" t="s">
        <v>3167</v>
      </c>
      <c r="F216" s="3"/>
      <c r="G216" s="3"/>
      <c r="H216" s="3" t="s">
        <v>3158</v>
      </c>
      <c r="I216" s="3" t="s">
        <v>2037</v>
      </c>
      <c r="J216" s="3">
        <v>1</v>
      </c>
      <c r="K216" s="3">
        <v>0</v>
      </c>
      <c r="L216" s="4">
        <v>18.399999999999999</v>
      </c>
      <c r="M216" s="3" t="s">
        <v>2042</v>
      </c>
      <c r="N216" s="3" t="s">
        <v>28</v>
      </c>
      <c r="O216" s="3">
        <v>0</v>
      </c>
      <c r="P216" s="3">
        <v>0</v>
      </c>
      <c r="Q216" s="24">
        <v>9000</v>
      </c>
      <c r="R216" s="3">
        <f t="shared" si="3"/>
        <v>0</v>
      </c>
    </row>
    <row r="217" spans="1:18" x14ac:dyDescent="0.3">
      <c r="A217" s="3" t="s">
        <v>587</v>
      </c>
      <c r="B217" s="4" t="s">
        <v>2725</v>
      </c>
      <c r="C217" s="19" t="s">
        <v>2724</v>
      </c>
      <c r="D217" s="19" t="s">
        <v>2723</v>
      </c>
      <c r="E217" s="3" t="s">
        <v>3167</v>
      </c>
      <c r="F217" s="3"/>
      <c r="G217" s="3"/>
      <c r="H217" s="3" t="s">
        <v>3158</v>
      </c>
      <c r="I217" s="3" t="s">
        <v>2037</v>
      </c>
      <c r="J217" s="3">
        <v>1</v>
      </c>
      <c r="K217" s="3">
        <v>0</v>
      </c>
      <c r="L217" s="4">
        <v>20</v>
      </c>
      <c r="M217" s="3" t="s">
        <v>2042</v>
      </c>
      <c r="N217" s="3" t="s">
        <v>28</v>
      </c>
      <c r="O217" s="3">
        <v>0</v>
      </c>
      <c r="P217" s="3">
        <v>0</v>
      </c>
      <c r="Q217" s="24">
        <v>9000</v>
      </c>
      <c r="R217" s="3">
        <f t="shared" si="3"/>
        <v>0</v>
      </c>
    </row>
    <row r="218" spans="1:18" x14ac:dyDescent="0.3">
      <c r="A218" s="3" t="s">
        <v>587</v>
      </c>
      <c r="B218" s="4" t="s">
        <v>2728</v>
      </c>
      <c r="C218" s="19" t="s">
        <v>2727</v>
      </c>
      <c r="D218" s="19" t="s">
        <v>2726</v>
      </c>
      <c r="E218" s="3" t="s">
        <v>3167</v>
      </c>
      <c r="F218" s="3"/>
      <c r="G218" s="3"/>
      <c r="H218" s="3" t="s">
        <v>3158</v>
      </c>
      <c r="I218" s="3" t="s">
        <v>2037</v>
      </c>
      <c r="J218" s="3">
        <v>1</v>
      </c>
      <c r="K218" s="3">
        <v>0</v>
      </c>
      <c r="L218" s="4">
        <v>14.1</v>
      </c>
      <c r="M218" s="3" t="s">
        <v>2042</v>
      </c>
      <c r="N218" s="3" t="s">
        <v>28</v>
      </c>
      <c r="O218" s="3">
        <v>0</v>
      </c>
      <c r="P218" s="3">
        <v>0</v>
      </c>
      <c r="Q218" s="24">
        <v>9000</v>
      </c>
      <c r="R218" s="3">
        <f t="shared" si="3"/>
        <v>0</v>
      </c>
    </row>
    <row r="219" spans="1:18" x14ac:dyDescent="0.3">
      <c r="A219" s="3" t="s">
        <v>587</v>
      </c>
      <c r="B219" s="4" t="s">
        <v>2731</v>
      </c>
      <c r="C219" s="19" t="s">
        <v>2730</v>
      </c>
      <c r="D219" s="19" t="s">
        <v>2729</v>
      </c>
      <c r="E219" s="3" t="s">
        <v>3167</v>
      </c>
      <c r="F219" s="3"/>
      <c r="G219" s="3"/>
      <c r="H219" s="3" t="s">
        <v>3158</v>
      </c>
      <c r="I219" s="3" t="s">
        <v>2037</v>
      </c>
      <c r="J219" s="3">
        <v>1</v>
      </c>
      <c r="K219" s="3">
        <v>0</v>
      </c>
      <c r="L219" s="4">
        <v>34.5</v>
      </c>
      <c r="M219" s="3" t="s">
        <v>2042</v>
      </c>
      <c r="N219" s="3" t="s">
        <v>28</v>
      </c>
      <c r="O219" s="3">
        <v>0</v>
      </c>
      <c r="P219" s="3">
        <v>0</v>
      </c>
      <c r="Q219" s="24">
        <v>9000</v>
      </c>
      <c r="R219" s="3">
        <f t="shared" si="3"/>
        <v>0</v>
      </c>
    </row>
    <row r="220" spans="1:18" x14ac:dyDescent="0.3">
      <c r="A220" s="3" t="s">
        <v>609</v>
      </c>
      <c r="B220" s="4" t="s">
        <v>2734</v>
      </c>
      <c r="C220" s="19" t="s">
        <v>2733</v>
      </c>
      <c r="D220" s="19" t="s">
        <v>2732</v>
      </c>
      <c r="E220" s="3" t="s">
        <v>3167</v>
      </c>
      <c r="F220" s="3"/>
      <c r="G220" s="3"/>
      <c r="H220" s="3" t="s">
        <v>3135</v>
      </c>
      <c r="I220" s="3" t="s">
        <v>2037</v>
      </c>
      <c r="J220" s="3">
        <v>1</v>
      </c>
      <c r="K220" s="3">
        <v>0</v>
      </c>
      <c r="L220" s="4">
        <v>10.5</v>
      </c>
      <c r="M220" s="3" t="s">
        <v>2042</v>
      </c>
      <c r="N220" s="3" t="s">
        <v>28</v>
      </c>
      <c r="O220" s="3">
        <v>0</v>
      </c>
      <c r="P220" s="3">
        <v>0</v>
      </c>
      <c r="Q220" s="24">
        <v>9000</v>
      </c>
      <c r="R220" s="3">
        <f t="shared" si="3"/>
        <v>0</v>
      </c>
    </row>
    <row r="221" spans="1:18" x14ac:dyDescent="0.3">
      <c r="A221" s="3" t="s">
        <v>609</v>
      </c>
      <c r="B221" s="4" t="s">
        <v>2737</v>
      </c>
      <c r="C221" s="19" t="s">
        <v>2736</v>
      </c>
      <c r="D221" s="19" t="s">
        <v>2735</v>
      </c>
      <c r="E221" s="3" t="s">
        <v>3167</v>
      </c>
      <c r="F221" s="3"/>
      <c r="G221" s="3"/>
      <c r="H221" s="3" t="s">
        <v>3135</v>
      </c>
      <c r="I221" s="3" t="s">
        <v>2037</v>
      </c>
      <c r="J221" s="3">
        <v>1</v>
      </c>
      <c r="K221" s="3">
        <v>0</v>
      </c>
      <c r="L221" s="4">
        <v>11.5</v>
      </c>
      <c r="M221" s="3" t="s">
        <v>2042</v>
      </c>
      <c r="N221" s="3" t="s">
        <v>28</v>
      </c>
      <c r="O221" s="3">
        <v>0</v>
      </c>
      <c r="P221" s="3">
        <v>0</v>
      </c>
      <c r="Q221" s="24">
        <v>9000</v>
      </c>
      <c r="R221" s="3">
        <f t="shared" si="3"/>
        <v>0</v>
      </c>
    </row>
    <row r="222" spans="1:18" x14ac:dyDescent="0.3">
      <c r="A222" s="3" t="s">
        <v>609</v>
      </c>
      <c r="B222" s="4" t="s">
        <v>2740</v>
      </c>
      <c r="C222" s="19" t="s">
        <v>2739</v>
      </c>
      <c r="D222" s="19" t="s">
        <v>2738</v>
      </c>
      <c r="E222" s="3" t="s">
        <v>3167</v>
      </c>
      <c r="F222" s="3"/>
      <c r="G222" s="3"/>
      <c r="H222" s="3" t="s">
        <v>3135</v>
      </c>
      <c r="I222" s="3" t="s">
        <v>2037</v>
      </c>
      <c r="J222" s="3">
        <v>1</v>
      </c>
      <c r="K222" s="3">
        <v>0</v>
      </c>
      <c r="L222" s="4">
        <v>23.1</v>
      </c>
      <c r="M222" s="3" t="s">
        <v>2042</v>
      </c>
      <c r="N222" s="3" t="s">
        <v>28</v>
      </c>
      <c r="O222" s="3">
        <v>0</v>
      </c>
      <c r="P222" s="3">
        <v>0</v>
      </c>
      <c r="Q222" s="24">
        <v>9000</v>
      </c>
      <c r="R222" s="3">
        <f t="shared" si="3"/>
        <v>0</v>
      </c>
    </row>
    <row r="223" spans="1:18" x14ac:dyDescent="0.3">
      <c r="A223" s="3" t="s">
        <v>578</v>
      </c>
      <c r="B223" s="4" t="s">
        <v>2743</v>
      </c>
      <c r="C223" s="19" t="s">
        <v>2742</v>
      </c>
      <c r="D223" s="19" t="s">
        <v>2741</v>
      </c>
      <c r="E223" s="3" t="s">
        <v>3167</v>
      </c>
      <c r="F223" s="3"/>
      <c r="G223" s="3"/>
      <c r="H223" s="3" t="s">
        <v>3163</v>
      </c>
      <c r="I223" s="3" t="s">
        <v>2037</v>
      </c>
      <c r="J223" s="3">
        <v>1</v>
      </c>
      <c r="K223" s="3">
        <v>0</v>
      </c>
      <c r="L223" s="4">
        <v>84.96</v>
      </c>
      <c r="M223" s="3" t="s">
        <v>2042</v>
      </c>
      <c r="N223" s="3" t="s">
        <v>28</v>
      </c>
      <c r="O223" s="3">
        <v>0</v>
      </c>
      <c r="P223" s="3">
        <v>0</v>
      </c>
      <c r="Q223" s="24">
        <v>9000</v>
      </c>
      <c r="R223" s="3">
        <f t="shared" si="3"/>
        <v>0</v>
      </c>
    </row>
    <row r="224" spans="1:18" x14ac:dyDescent="0.3">
      <c r="A224" s="3" t="s">
        <v>603</v>
      </c>
      <c r="B224" s="4" t="s">
        <v>2746</v>
      </c>
      <c r="C224" s="19" t="s">
        <v>2745</v>
      </c>
      <c r="D224" s="19" t="s">
        <v>2744</v>
      </c>
      <c r="E224" s="3" t="s">
        <v>33</v>
      </c>
      <c r="F224" s="3"/>
      <c r="G224" s="3"/>
      <c r="H224" s="3" t="s">
        <v>3138</v>
      </c>
      <c r="I224" s="3" t="s">
        <v>2747</v>
      </c>
      <c r="J224" s="3">
        <v>1</v>
      </c>
      <c r="K224" s="3">
        <v>99</v>
      </c>
      <c r="L224" s="4">
        <v>285</v>
      </c>
      <c r="M224" s="3" t="s">
        <v>2748</v>
      </c>
      <c r="N224" s="3" t="s">
        <v>30</v>
      </c>
      <c r="O224" s="3">
        <v>143</v>
      </c>
      <c r="P224" s="3" t="s">
        <v>2749</v>
      </c>
      <c r="Q224" s="24" t="str">
        <f>_xlfn.XLOOKUP(C224,[1]DailyCommercialOfferData!$A$2:$A$164,[1]DailyCommercialOfferData!$C$2:$C$164,0)</f>
        <v>143</v>
      </c>
      <c r="R224" s="3">
        <f t="shared" si="3"/>
        <v>143</v>
      </c>
    </row>
    <row r="225" spans="1:18" x14ac:dyDescent="0.3">
      <c r="A225" s="3" t="s">
        <v>603</v>
      </c>
      <c r="B225" s="4" t="s">
        <v>2752</v>
      </c>
      <c r="C225" s="19" t="s">
        <v>2751</v>
      </c>
      <c r="D225" s="19" t="s">
        <v>2750</v>
      </c>
      <c r="E225" s="3" t="s">
        <v>33</v>
      </c>
      <c r="F225" s="3"/>
      <c r="G225" s="3"/>
      <c r="H225" s="3" t="s">
        <v>3138</v>
      </c>
      <c r="I225" s="3" t="s">
        <v>2753</v>
      </c>
      <c r="J225" s="3">
        <v>1</v>
      </c>
      <c r="K225" s="3">
        <v>99</v>
      </c>
      <c r="L225" s="4">
        <v>285</v>
      </c>
      <c r="M225" s="3" t="s">
        <v>2748</v>
      </c>
      <c r="N225" s="3" t="s">
        <v>30</v>
      </c>
      <c r="O225" s="3">
        <v>143</v>
      </c>
      <c r="P225" s="3" t="s">
        <v>2749</v>
      </c>
      <c r="Q225" s="24" t="str">
        <f>_xlfn.XLOOKUP(C225,[1]DailyCommercialOfferData!$A$2:$A$164,[1]DailyCommercialOfferData!$C$2:$C$164,0)</f>
        <v>143</v>
      </c>
      <c r="R225" s="3">
        <f t="shared" si="3"/>
        <v>143</v>
      </c>
    </row>
    <row r="226" spans="1:18" x14ac:dyDescent="0.3">
      <c r="A226" s="3" t="s">
        <v>599</v>
      </c>
      <c r="B226" s="4" t="s">
        <v>2756</v>
      </c>
      <c r="C226" s="19" t="s">
        <v>2755</v>
      </c>
      <c r="D226" s="19" t="s">
        <v>2754</v>
      </c>
      <c r="E226" s="3" t="s">
        <v>3167</v>
      </c>
      <c r="F226" s="3"/>
      <c r="G226" s="3"/>
      <c r="H226" s="3" t="s">
        <v>3138</v>
      </c>
      <c r="I226" s="3" t="s">
        <v>2037</v>
      </c>
      <c r="J226" s="3">
        <v>1</v>
      </c>
      <c r="K226" s="3">
        <v>0</v>
      </c>
      <c r="L226" s="4">
        <v>17.25</v>
      </c>
      <c r="M226" s="3" t="s">
        <v>2042</v>
      </c>
      <c r="N226" s="3" t="s">
        <v>28</v>
      </c>
      <c r="O226" s="3">
        <v>0</v>
      </c>
      <c r="P226" s="3">
        <v>0</v>
      </c>
      <c r="Q226" s="24">
        <v>9000</v>
      </c>
      <c r="R226" s="3">
        <f t="shared" si="3"/>
        <v>0</v>
      </c>
    </row>
    <row r="227" spans="1:18" x14ac:dyDescent="0.3">
      <c r="A227" s="3" t="s">
        <v>599</v>
      </c>
      <c r="B227" s="4" t="s">
        <v>2759</v>
      </c>
      <c r="C227" s="19" t="s">
        <v>2758</v>
      </c>
      <c r="D227" s="19" t="s">
        <v>2757</v>
      </c>
      <c r="E227" s="3" t="s">
        <v>33</v>
      </c>
      <c r="F227" s="3"/>
      <c r="G227" s="3"/>
      <c r="H227" s="3" t="s">
        <v>3138</v>
      </c>
      <c r="I227" s="3" t="s">
        <v>2747</v>
      </c>
      <c r="J227" s="3">
        <v>1</v>
      </c>
      <c r="K227" s="3">
        <v>99</v>
      </c>
      <c r="L227" s="4">
        <v>285</v>
      </c>
      <c r="M227" s="3" t="s">
        <v>2748</v>
      </c>
      <c r="N227" s="3" t="s">
        <v>30</v>
      </c>
      <c r="O227" s="3">
        <v>143</v>
      </c>
      <c r="P227" s="3" t="s">
        <v>2749</v>
      </c>
      <c r="Q227" s="24" t="str">
        <f>_xlfn.XLOOKUP(C227,[1]DailyCommercialOfferData!$A$2:$A$164,[1]DailyCommercialOfferData!$C$2:$C$164,0)</f>
        <v>143</v>
      </c>
      <c r="R227" s="3">
        <f t="shared" si="3"/>
        <v>143</v>
      </c>
    </row>
    <row r="228" spans="1:18" x14ac:dyDescent="0.3">
      <c r="A228" s="3" t="s">
        <v>590</v>
      </c>
      <c r="B228" s="4" t="s">
        <v>2762</v>
      </c>
      <c r="C228" s="19" t="s">
        <v>2761</v>
      </c>
      <c r="D228" s="19" t="s">
        <v>2760</v>
      </c>
      <c r="E228" s="3" t="s">
        <v>3167</v>
      </c>
      <c r="F228" s="3"/>
      <c r="G228" s="3"/>
      <c r="H228" s="3" t="s">
        <v>3135</v>
      </c>
      <c r="I228" s="3" t="s">
        <v>2037</v>
      </c>
      <c r="J228" s="3">
        <v>1</v>
      </c>
      <c r="K228" s="3">
        <v>0</v>
      </c>
      <c r="L228" s="4">
        <v>80</v>
      </c>
      <c r="M228" s="3" t="s">
        <v>2042</v>
      </c>
      <c r="N228" s="3" t="s">
        <v>28</v>
      </c>
      <c r="O228" s="3">
        <v>0</v>
      </c>
      <c r="P228" s="3">
        <v>0</v>
      </c>
      <c r="Q228" s="24">
        <v>9000</v>
      </c>
      <c r="R228" s="3">
        <f t="shared" si="3"/>
        <v>0</v>
      </c>
    </row>
    <row r="229" spans="1:18" x14ac:dyDescent="0.3">
      <c r="A229" s="3" t="s">
        <v>607</v>
      </c>
      <c r="B229" s="4" t="s">
        <v>2765</v>
      </c>
      <c r="C229" s="19" t="s">
        <v>2764</v>
      </c>
      <c r="D229" s="19" t="s">
        <v>2763</v>
      </c>
      <c r="E229" s="3" t="s">
        <v>3167</v>
      </c>
      <c r="F229" s="3"/>
      <c r="G229" s="3"/>
      <c r="H229" s="3" t="s">
        <v>3147</v>
      </c>
      <c r="I229" s="3" t="s">
        <v>2037</v>
      </c>
      <c r="J229" s="3">
        <v>1</v>
      </c>
      <c r="K229" s="3">
        <v>0</v>
      </c>
      <c r="L229" s="4">
        <v>89.85</v>
      </c>
      <c r="M229" s="3" t="s">
        <v>2042</v>
      </c>
      <c r="N229" s="3" t="s">
        <v>28</v>
      </c>
      <c r="O229" s="3">
        <v>0</v>
      </c>
      <c r="P229" s="3">
        <v>0</v>
      </c>
      <c r="Q229" s="24">
        <v>9000</v>
      </c>
      <c r="R229" s="3">
        <f t="shared" si="3"/>
        <v>0</v>
      </c>
    </row>
    <row r="230" spans="1:18" x14ac:dyDescent="0.3">
      <c r="A230" s="3" t="s">
        <v>607</v>
      </c>
      <c r="B230" s="4" t="s">
        <v>2768</v>
      </c>
      <c r="C230" s="19" t="s">
        <v>2767</v>
      </c>
      <c r="D230" s="19" t="s">
        <v>2766</v>
      </c>
      <c r="E230" s="3" t="s">
        <v>3167</v>
      </c>
      <c r="F230" s="3"/>
      <c r="G230" s="3"/>
      <c r="H230" s="3" t="s">
        <v>3147</v>
      </c>
      <c r="I230" s="3" t="s">
        <v>2037</v>
      </c>
      <c r="J230" s="3">
        <v>1</v>
      </c>
      <c r="K230" s="3">
        <v>0</v>
      </c>
      <c r="L230" s="4">
        <v>5.4</v>
      </c>
      <c r="M230" s="3" t="s">
        <v>2042</v>
      </c>
      <c r="N230" s="3" t="s">
        <v>28</v>
      </c>
      <c r="O230" s="3">
        <v>0</v>
      </c>
      <c r="P230" s="3">
        <v>0</v>
      </c>
      <c r="Q230" s="24">
        <v>9000</v>
      </c>
      <c r="R230" s="3">
        <f t="shared" si="3"/>
        <v>0</v>
      </c>
    </row>
    <row r="231" spans="1:18" x14ac:dyDescent="0.3">
      <c r="A231" s="3" t="s">
        <v>626</v>
      </c>
      <c r="B231" s="4" t="s">
        <v>2771</v>
      </c>
      <c r="C231" s="19" t="s">
        <v>2770</v>
      </c>
      <c r="D231" s="19" t="s">
        <v>2769</v>
      </c>
      <c r="E231" s="3" t="s">
        <v>3167</v>
      </c>
      <c r="F231" s="3"/>
      <c r="G231" s="3"/>
      <c r="H231" s="3" t="s">
        <v>3135</v>
      </c>
      <c r="I231" s="3" t="s">
        <v>2037</v>
      </c>
      <c r="J231" s="3">
        <v>1</v>
      </c>
      <c r="K231" s="3">
        <v>0</v>
      </c>
      <c r="L231" s="4">
        <v>12</v>
      </c>
      <c r="M231" s="3" t="s">
        <v>2160</v>
      </c>
      <c r="N231" s="3" t="s">
        <v>28</v>
      </c>
      <c r="O231" s="3">
        <v>0</v>
      </c>
      <c r="P231" s="3">
        <v>0</v>
      </c>
      <c r="Q231" s="24">
        <v>9000</v>
      </c>
      <c r="R231" s="3">
        <f t="shared" si="3"/>
        <v>0</v>
      </c>
    </row>
    <row r="232" spans="1:18" x14ac:dyDescent="0.3">
      <c r="A232" s="3" t="s">
        <v>633</v>
      </c>
      <c r="B232" s="4" t="s">
        <v>2774</v>
      </c>
      <c r="C232" s="19" t="s">
        <v>2773</v>
      </c>
      <c r="D232" s="19" t="s">
        <v>2772</v>
      </c>
      <c r="E232" s="3" t="s">
        <v>33</v>
      </c>
      <c r="F232" s="3"/>
      <c r="G232" s="3"/>
      <c r="H232" s="3" t="s">
        <v>3135</v>
      </c>
      <c r="I232" s="3" t="s">
        <v>2037</v>
      </c>
      <c r="J232" s="3">
        <v>1</v>
      </c>
      <c r="K232" s="3">
        <v>17</v>
      </c>
      <c r="L232" s="4">
        <v>200</v>
      </c>
      <c r="M232" s="3" t="s">
        <v>2142</v>
      </c>
      <c r="N232" s="3" t="s">
        <v>30</v>
      </c>
      <c r="O232" s="3">
        <v>122.55</v>
      </c>
      <c r="P232" s="3" t="s">
        <v>2775</v>
      </c>
      <c r="Q232" s="24" t="str">
        <f>_xlfn.XLOOKUP(C232,[1]DailyCommercialOfferData!$A$2:$A$164,[1]DailyCommercialOfferData!$C$2:$C$164,0)</f>
        <v>121.14</v>
      </c>
      <c r="R232" s="3">
        <f t="shared" si="3"/>
        <v>122.55</v>
      </c>
    </row>
    <row r="233" spans="1:18" x14ac:dyDescent="0.3">
      <c r="A233" s="3" t="s">
        <v>750</v>
      </c>
      <c r="B233" s="4" t="s">
        <v>2778</v>
      </c>
      <c r="C233" s="19" t="s">
        <v>2777</v>
      </c>
      <c r="D233" s="19" t="s">
        <v>2776</v>
      </c>
      <c r="E233" s="3" t="s">
        <v>33</v>
      </c>
      <c r="F233" s="3"/>
      <c r="G233" s="3"/>
      <c r="H233" s="3" t="s">
        <v>3135</v>
      </c>
      <c r="I233" s="3" t="s">
        <v>2037</v>
      </c>
      <c r="J233" s="3">
        <v>1</v>
      </c>
      <c r="K233" s="3">
        <v>25</v>
      </c>
      <c r="L233" s="4">
        <v>160</v>
      </c>
      <c r="M233" s="3" t="s">
        <v>2132</v>
      </c>
      <c r="N233" s="3" t="s">
        <v>30</v>
      </c>
      <c r="O233" s="3">
        <v>160.08000000000001</v>
      </c>
      <c r="P233" s="3" t="s">
        <v>2779</v>
      </c>
      <c r="Q233" s="24" t="str">
        <f>_xlfn.XLOOKUP(C233,[1]DailyCommercialOfferData!$A$2:$A$164,[1]DailyCommercialOfferData!$C$2:$C$164,0)</f>
        <v>145.57</v>
      </c>
      <c r="R233" s="3">
        <f t="shared" si="3"/>
        <v>160.08000000000001</v>
      </c>
    </row>
    <row r="234" spans="1:18" x14ac:dyDescent="0.3">
      <c r="A234" s="3" t="s">
        <v>637</v>
      </c>
      <c r="B234" s="4" t="s">
        <v>2782</v>
      </c>
      <c r="C234" s="19" t="s">
        <v>2781</v>
      </c>
      <c r="D234" s="19" t="s">
        <v>2780</v>
      </c>
      <c r="E234" s="3" t="s">
        <v>3167</v>
      </c>
      <c r="F234" s="3"/>
      <c r="G234" s="3"/>
      <c r="H234" s="3" t="s">
        <v>3158</v>
      </c>
      <c r="I234" s="3" t="s">
        <v>2037</v>
      </c>
      <c r="J234" s="3">
        <v>1</v>
      </c>
      <c r="K234" s="3">
        <v>0</v>
      </c>
      <c r="L234" s="4">
        <v>7.26</v>
      </c>
      <c r="M234" s="3" t="s">
        <v>2042</v>
      </c>
      <c r="N234" s="3" t="s">
        <v>28</v>
      </c>
      <c r="O234" s="3">
        <v>0</v>
      </c>
      <c r="P234" s="3">
        <v>0</v>
      </c>
      <c r="Q234" s="24">
        <v>9000</v>
      </c>
      <c r="R234" s="3">
        <f t="shared" si="3"/>
        <v>0</v>
      </c>
    </row>
    <row r="235" spans="1:18" x14ac:dyDescent="0.3">
      <c r="A235" s="3" t="s">
        <v>637</v>
      </c>
      <c r="B235" s="4" t="s">
        <v>2785</v>
      </c>
      <c r="C235" s="19" t="s">
        <v>2784</v>
      </c>
      <c r="D235" s="19" t="s">
        <v>2783</v>
      </c>
      <c r="E235" s="3" t="s">
        <v>3167</v>
      </c>
      <c r="F235" s="3"/>
      <c r="G235" s="3"/>
      <c r="H235" s="3" t="s">
        <v>3158</v>
      </c>
      <c r="I235" s="3" t="s">
        <v>2037</v>
      </c>
      <c r="J235" s="3">
        <v>1</v>
      </c>
      <c r="K235" s="3">
        <v>0</v>
      </c>
      <c r="L235" s="4">
        <v>5.94</v>
      </c>
      <c r="M235" s="3" t="s">
        <v>2042</v>
      </c>
      <c r="N235" s="3" t="s">
        <v>28</v>
      </c>
      <c r="O235" s="3">
        <v>0</v>
      </c>
      <c r="P235" s="3">
        <v>0</v>
      </c>
      <c r="Q235" s="24">
        <v>9000</v>
      </c>
      <c r="R235" s="3">
        <f t="shared" si="3"/>
        <v>0</v>
      </c>
    </row>
    <row r="236" spans="1:18" x14ac:dyDescent="0.3">
      <c r="A236" s="3" t="s">
        <v>637</v>
      </c>
      <c r="B236" s="4" t="s">
        <v>2788</v>
      </c>
      <c r="C236" s="19" t="s">
        <v>2787</v>
      </c>
      <c r="D236" s="19" t="s">
        <v>2786</v>
      </c>
      <c r="E236" s="3" t="s">
        <v>3167</v>
      </c>
      <c r="F236" s="3"/>
      <c r="G236" s="3"/>
      <c r="H236" s="3" t="s">
        <v>3158</v>
      </c>
      <c r="I236" s="3" t="s">
        <v>2037</v>
      </c>
      <c r="J236" s="3">
        <v>1</v>
      </c>
      <c r="K236" s="3">
        <v>0</v>
      </c>
      <c r="L236" s="4">
        <v>20</v>
      </c>
      <c r="M236" s="3" t="s">
        <v>2042</v>
      </c>
      <c r="N236" s="3" t="s">
        <v>28</v>
      </c>
      <c r="O236" s="3">
        <v>0</v>
      </c>
      <c r="P236" s="3">
        <v>0</v>
      </c>
      <c r="Q236" s="24">
        <v>9000</v>
      </c>
      <c r="R236" s="3">
        <f t="shared" si="3"/>
        <v>0</v>
      </c>
    </row>
    <row r="237" spans="1:18" x14ac:dyDescent="0.3">
      <c r="A237" s="3" t="s">
        <v>637</v>
      </c>
      <c r="B237" s="4" t="s">
        <v>2791</v>
      </c>
      <c r="C237" s="19" t="s">
        <v>2790</v>
      </c>
      <c r="D237" s="19" t="s">
        <v>2789</v>
      </c>
      <c r="E237" s="3" t="s">
        <v>3167</v>
      </c>
      <c r="F237" s="3"/>
      <c r="G237" s="3"/>
      <c r="H237" s="3" t="s">
        <v>3158</v>
      </c>
      <c r="I237" s="3" t="s">
        <v>2037</v>
      </c>
      <c r="J237" s="3">
        <v>1</v>
      </c>
      <c r="K237" s="3">
        <v>0</v>
      </c>
      <c r="L237" s="4">
        <v>28.5</v>
      </c>
      <c r="M237" s="3" t="s">
        <v>2042</v>
      </c>
      <c r="N237" s="3" t="s">
        <v>28</v>
      </c>
      <c r="O237" s="3">
        <v>0</v>
      </c>
      <c r="P237" s="3">
        <v>0</v>
      </c>
      <c r="Q237" s="24">
        <v>9000</v>
      </c>
      <c r="R237" s="3">
        <f t="shared" si="3"/>
        <v>0</v>
      </c>
    </row>
    <row r="238" spans="1:18" x14ac:dyDescent="0.3">
      <c r="A238" s="3" t="s">
        <v>637</v>
      </c>
      <c r="B238" s="4" t="s">
        <v>2794</v>
      </c>
      <c r="C238" s="19" t="s">
        <v>2793</v>
      </c>
      <c r="D238" s="19" t="s">
        <v>2792</v>
      </c>
      <c r="E238" s="3" t="s">
        <v>3167</v>
      </c>
      <c r="F238" s="3"/>
      <c r="G238" s="3"/>
      <c r="H238" s="3" t="s">
        <v>3158</v>
      </c>
      <c r="I238" s="3" t="s">
        <v>2037</v>
      </c>
      <c r="J238" s="3">
        <v>1</v>
      </c>
      <c r="K238" s="3">
        <v>0</v>
      </c>
      <c r="L238" s="4">
        <v>20</v>
      </c>
      <c r="M238" s="3" t="s">
        <v>2042</v>
      </c>
      <c r="N238" s="3" t="s">
        <v>28</v>
      </c>
      <c r="O238" s="3">
        <v>0</v>
      </c>
      <c r="P238" s="3">
        <v>0</v>
      </c>
      <c r="Q238" s="24">
        <v>9000</v>
      </c>
      <c r="R238" s="3">
        <f t="shared" si="3"/>
        <v>0</v>
      </c>
    </row>
    <row r="239" spans="1:18" x14ac:dyDescent="0.3">
      <c r="A239" s="3" t="s">
        <v>649</v>
      </c>
      <c r="B239" s="4" t="s">
        <v>2797</v>
      </c>
      <c r="C239" s="19" t="s">
        <v>2796</v>
      </c>
      <c r="D239" s="19" t="s">
        <v>2795</v>
      </c>
      <c r="E239" s="3" t="s">
        <v>33</v>
      </c>
      <c r="F239" s="3"/>
      <c r="G239" s="3"/>
      <c r="H239" s="3" t="s">
        <v>3135</v>
      </c>
      <c r="I239" s="3" t="s">
        <v>2037</v>
      </c>
      <c r="J239" s="3">
        <v>1</v>
      </c>
      <c r="K239" s="3">
        <v>3</v>
      </c>
      <c r="L239" s="4">
        <v>15</v>
      </c>
      <c r="M239" s="3" t="s">
        <v>2096</v>
      </c>
      <c r="N239" s="3" t="s">
        <v>30</v>
      </c>
      <c r="O239" s="3">
        <v>80</v>
      </c>
      <c r="P239" s="3" t="s">
        <v>995</v>
      </c>
      <c r="Q239" s="24">
        <v>8000</v>
      </c>
      <c r="R239" s="3">
        <f t="shared" si="3"/>
        <v>80</v>
      </c>
    </row>
    <row r="240" spans="1:18" x14ac:dyDescent="0.3">
      <c r="A240" s="3" t="s">
        <v>649</v>
      </c>
      <c r="B240" s="4" t="s">
        <v>2800</v>
      </c>
      <c r="C240" s="19" t="s">
        <v>2799</v>
      </c>
      <c r="D240" s="19" t="s">
        <v>2798</v>
      </c>
      <c r="E240" s="3" t="s">
        <v>33</v>
      </c>
      <c r="F240" s="3"/>
      <c r="G240" s="3"/>
      <c r="H240" s="3" t="s">
        <v>3135</v>
      </c>
      <c r="I240" s="3" t="s">
        <v>2037</v>
      </c>
      <c r="J240" s="3">
        <v>1</v>
      </c>
      <c r="K240" s="3">
        <v>3</v>
      </c>
      <c r="L240" s="4">
        <v>15</v>
      </c>
      <c r="M240" s="3" t="s">
        <v>2096</v>
      </c>
      <c r="N240" s="3" t="s">
        <v>30</v>
      </c>
      <c r="O240" s="3">
        <v>80</v>
      </c>
      <c r="P240" s="3" t="s">
        <v>995</v>
      </c>
      <c r="Q240" s="24">
        <v>8000</v>
      </c>
      <c r="R240" s="3">
        <f t="shared" si="3"/>
        <v>80</v>
      </c>
    </row>
    <row r="241" spans="1:18" x14ac:dyDescent="0.3">
      <c r="A241" s="3" t="s">
        <v>649</v>
      </c>
      <c r="B241" s="4" t="s">
        <v>2803</v>
      </c>
      <c r="C241" s="19" t="s">
        <v>2802</v>
      </c>
      <c r="D241" s="19" t="s">
        <v>2801</v>
      </c>
      <c r="E241" s="3" t="s">
        <v>33</v>
      </c>
      <c r="F241" s="3"/>
      <c r="G241" s="3"/>
      <c r="H241" s="3" t="s">
        <v>3135</v>
      </c>
      <c r="I241" s="3" t="s">
        <v>2037</v>
      </c>
      <c r="J241" s="3">
        <v>1</v>
      </c>
      <c r="K241" s="3">
        <v>0</v>
      </c>
      <c r="L241" s="4">
        <v>0.18</v>
      </c>
      <c r="M241" s="3" t="s">
        <v>2096</v>
      </c>
      <c r="N241" s="3" t="s">
        <v>30</v>
      </c>
      <c r="O241" s="3">
        <v>0</v>
      </c>
      <c r="P241" s="3">
        <v>0</v>
      </c>
      <c r="Q241" s="24">
        <v>8000</v>
      </c>
      <c r="R241" s="3">
        <f t="shared" si="3"/>
        <v>0</v>
      </c>
    </row>
    <row r="242" spans="1:18" x14ac:dyDescent="0.3">
      <c r="A242" s="3" t="s">
        <v>649</v>
      </c>
      <c r="B242" s="4" t="s">
        <v>2806</v>
      </c>
      <c r="C242" s="19" t="s">
        <v>2805</v>
      </c>
      <c r="D242" s="19" t="s">
        <v>2804</v>
      </c>
      <c r="E242" s="3" t="s">
        <v>33</v>
      </c>
      <c r="F242" s="3"/>
      <c r="G242" s="3"/>
      <c r="H242" s="3" t="s">
        <v>3135</v>
      </c>
      <c r="I242" s="3" t="s">
        <v>2037</v>
      </c>
      <c r="J242" s="3">
        <v>1</v>
      </c>
      <c r="K242" s="3">
        <v>3.99</v>
      </c>
      <c r="L242" s="4">
        <v>4</v>
      </c>
      <c r="M242" s="3" t="s">
        <v>2096</v>
      </c>
      <c r="N242" s="3" t="s">
        <v>30</v>
      </c>
      <c r="O242" s="3">
        <v>80</v>
      </c>
      <c r="P242" s="3" t="s">
        <v>995</v>
      </c>
      <c r="Q242" s="24">
        <v>8000</v>
      </c>
      <c r="R242" s="3">
        <f t="shared" si="3"/>
        <v>80</v>
      </c>
    </row>
    <row r="243" spans="1:18" x14ac:dyDescent="0.3">
      <c r="A243" s="3" t="s">
        <v>649</v>
      </c>
      <c r="B243" s="4" t="s">
        <v>2809</v>
      </c>
      <c r="C243" s="19" t="s">
        <v>2808</v>
      </c>
      <c r="D243" s="19" t="s">
        <v>2807</v>
      </c>
      <c r="E243" s="3" t="s">
        <v>33</v>
      </c>
      <c r="F243" s="3"/>
      <c r="G243" s="3"/>
      <c r="H243" s="3" t="s">
        <v>3135</v>
      </c>
      <c r="I243" s="3" t="s">
        <v>2037</v>
      </c>
      <c r="J243" s="3">
        <v>1</v>
      </c>
      <c r="K243" s="3">
        <v>0.2</v>
      </c>
      <c r="L243" s="4">
        <v>4</v>
      </c>
      <c r="M243" s="3" t="s">
        <v>2096</v>
      </c>
      <c r="N243" s="3" t="s">
        <v>30</v>
      </c>
      <c r="O243" s="3">
        <v>80</v>
      </c>
      <c r="P243" s="3" t="s">
        <v>995</v>
      </c>
      <c r="Q243" s="24">
        <v>8000</v>
      </c>
      <c r="R243" s="3">
        <f t="shared" si="3"/>
        <v>80</v>
      </c>
    </row>
    <row r="244" spans="1:18" x14ac:dyDescent="0.3">
      <c r="A244" s="3" t="s">
        <v>653</v>
      </c>
      <c r="B244" s="4" t="s">
        <v>2812</v>
      </c>
      <c r="C244" s="19" t="s">
        <v>2811</v>
      </c>
      <c r="D244" s="19" t="s">
        <v>2810</v>
      </c>
      <c r="E244" s="3" t="s">
        <v>33</v>
      </c>
      <c r="F244" s="3"/>
      <c r="G244" s="3"/>
      <c r="H244" s="3" t="s">
        <v>3135</v>
      </c>
      <c r="I244" s="3" t="s">
        <v>2366</v>
      </c>
      <c r="J244" s="3">
        <v>1</v>
      </c>
      <c r="K244" s="3">
        <v>22.7</v>
      </c>
      <c r="L244" s="4">
        <v>63.5</v>
      </c>
      <c r="M244" s="3" t="s">
        <v>2071</v>
      </c>
      <c r="N244" s="3" t="s">
        <v>30</v>
      </c>
      <c r="O244" s="3">
        <v>110.12</v>
      </c>
      <c r="P244" s="3" t="s">
        <v>2574</v>
      </c>
      <c r="Q244" s="24" t="str">
        <f>_xlfn.XLOOKUP(C244,[1]DailyCommercialOfferData!$A$2:$A$164,[1]DailyCommercialOfferData!$C$2:$C$164,0)</f>
        <v>108.86</v>
      </c>
      <c r="R244" s="3">
        <f t="shared" si="3"/>
        <v>110.12</v>
      </c>
    </row>
    <row r="245" spans="1:18" x14ac:dyDescent="0.3">
      <c r="A245" s="3" t="s">
        <v>653</v>
      </c>
      <c r="B245" s="4" t="s">
        <v>2815</v>
      </c>
      <c r="C245" s="19" t="s">
        <v>2814</v>
      </c>
      <c r="D245" s="19" t="s">
        <v>2813</v>
      </c>
      <c r="E245" s="3" t="s">
        <v>33</v>
      </c>
      <c r="F245" s="3"/>
      <c r="G245" s="3"/>
      <c r="H245" s="3" t="s">
        <v>3135</v>
      </c>
      <c r="I245" s="3" t="s">
        <v>2037</v>
      </c>
      <c r="J245" s="3">
        <v>1</v>
      </c>
      <c r="K245" s="3">
        <v>21.5</v>
      </c>
      <c r="L245" s="4">
        <v>61.5</v>
      </c>
      <c r="M245" s="3" t="s">
        <v>2071</v>
      </c>
      <c r="N245" s="3" t="s">
        <v>30</v>
      </c>
      <c r="O245" s="3">
        <v>-1</v>
      </c>
      <c r="P245" s="3" t="s">
        <v>2816</v>
      </c>
      <c r="Q245" s="26">
        <v>0</v>
      </c>
      <c r="R245" s="25">
        <f>-Q245</f>
        <v>0</v>
      </c>
    </row>
    <row r="246" spans="1:18" x14ac:dyDescent="0.3">
      <c r="A246" s="3" t="s">
        <v>688</v>
      </c>
      <c r="B246" s="4" t="s">
        <v>2819</v>
      </c>
      <c r="C246" s="19" t="s">
        <v>2818</v>
      </c>
      <c r="D246" s="19" t="s">
        <v>2817</v>
      </c>
      <c r="E246" s="3" t="s">
        <v>3167</v>
      </c>
      <c r="F246" s="3"/>
      <c r="G246" s="3"/>
      <c r="H246" s="3" t="s">
        <v>3145</v>
      </c>
      <c r="I246" s="3" t="s">
        <v>2037</v>
      </c>
      <c r="J246" s="3">
        <v>1</v>
      </c>
      <c r="K246" s="3">
        <v>0</v>
      </c>
      <c r="L246" s="4">
        <v>27.6</v>
      </c>
      <c r="M246" s="3" t="s">
        <v>2042</v>
      </c>
      <c r="N246" s="3" t="s">
        <v>28</v>
      </c>
      <c r="O246" s="3">
        <v>0</v>
      </c>
      <c r="P246" s="3">
        <v>0</v>
      </c>
      <c r="Q246" s="24">
        <v>9000</v>
      </c>
      <c r="R246" s="3">
        <f t="shared" si="3"/>
        <v>0</v>
      </c>
    </row>
    <row r="247" spans="1:18" x14ac:dyDescent="0.3">
      <c r="A247" s="3" t="s">
        <v>688</v>
      </c>
      <c r="B247" s="4" t="s">
        <v>2822</v>
      </c>
      <c r="C247" s="19" t="s">
        <v>2821</v>
      </c>
      <c r="D247" s="19" t="s">
        <v>2820</v>
      </c>
      <c r="E247" s="3" t="s">
        <v>3167</v>
      </c>
      <c r="F247" s="3"/>
      <c r="G247" s="3"/>
      <c r="H247" s="3" t="s">
        <v>3145</v>
      </c>
      <c r="I247" s="3" t="s">
        <v>2037</v>
      </c>
      <c r="J247" s="3">
        <v>1</v>
      </c>
      <c r="K247" s="3">
        <v>0</v>
      </c>
      <c r="L247" s="4">
        <v>18</v>
      </c>
      <c r="M247" s="3" t="s">
        <v>2042</v>
      </c>
      <c r="N247" s="3" t="s">
        <v>28</v>
      </c>
      <c r="O247" s="3">
        <v>0</v>
      </c>
      <c r="P247" s="3">
        <v>0</v>
      </c>
      <c r="Q247" s="24">
        <v>9000</v>
      </c>
      <c r="R247" s="3">
        <f t="shared" si="3"/>
        <v>0</v>
      </c>
    </row>
    <row r="248" spans="1:18" x14ac:dyDescent="0.3">
      <c r="A248" s="3" t="s">
        <v>688</v>
      </c>
      <c r="B248" s="4" t="s">
        <v>2825</v>
      </c>
      <c r="C248" s="19" t="s">
        <v>2824</v>
      </c>
      <c r="D248" s="19" t="s">
        <v>2823</v>
      </c>
      <c r="E248" s="3" t="s">
        <v>3167</v>
      </c>
      <c r="F248" s="3"/>
      <c r="G248" s="3"/>
      <c r="H248" s="3" t="s">
        <v>3145</v>
      </c>
      <c r="I248" s="3" t="s">
        <v>2037</v>
      </c>
      <c r="J248" s="3">
        <v>1</v>
      </c>
      <c r="K248" s="3">
        <v>0</v>
      </c>
      <c r="L248" s="4">
        <v>29.81</v>
      </c>
      <c r="M248" s="3" t="s">
        <v>2160</v>
      </c>
      <c r="N248" s="3" t="s">
        <v>28</v>
      </c>
      <c r="O248" s="3">
        <v>0</v>
      </c>
      <c r="P248" s="3">
        <v>0</v>
      </c>
      <c r="Q248" s="24">
        <v>9000</v>
      </c>
      <c r="R248" s="3">
        <f t="shared" si="3"/>
        <v>0</v>
      </c>
    </row>
    <row r="249" spans="1:18" x14ac:dyDescent="0.3">
      <c r="A249" s="3" t="s">
        <v>671</v>
      </c>
      <c r="B249" s="4" t="s">
        <v>2828</v>
      </c>
      <c r="C249" s="19" t="s">
        <v>2827</v>
      </c>
      <c r="D249" s="19" t="s">
        <v>2826</v>
      </c>
      <c r="E249" s="3" t="s">
        <v>3167</v>
      </c>
      <c r="F249" s="3"/>
      <c r="G249" s="3"/>
      <c r="H249" s="3" t="s">
        <v>3164</v>
      </c>
      <c r="I249" s="3" t="s">
        <v>2037</v>
      </c>
      <c r="J249" s="3">
        <v>1</v>
      </c>
      <c r="K249" s="3">
        <v>0</v>
      </c>
      <c r="L249" s="4">
        <v>15</v>
      </c>
      <c r="M249" s="3" t="s">
        <v>2042</v>
      </c>
      <c r="N249" s="3" t="s">
        <v>28</v>
      </c>
      <c r="O249" s="3">
        <v>0</v>
      </c>
      <c r="P249" s="3">
        <v>0</v>
      </c>
      <c r="Q249" s="24">
        <v>9000</v>
      </c>
      <c r="R249" s="3">
        <f t="shared" si="3"/>
        <v>0</v>
      </c>
    </row>
    <row r="250" spans="1:18" x14ac:dyDescent="0.3">
      <c r="A250" s="3" t="s">
        <v>671</v>
      </c>
      <c r="B250" s="4" t="s">
        <v>2831</v>
      </c>
      <c r="C250" s="19" t="s">
        <v>2830</v>
      </c>
      <c r="D250" s="19" t="s">
        <v>2829</v>
      </c>
      <c r="E250" s="3" t="s">
        <v>3167</v>
      </c>
      <c r="F250" s="3"/>
      <c r="G250" s="3"/>
      <c r="H250" s="3" t="s">
        <v>3164</v>
      </c>
      <c r="I250" s="3" t="s">
        <v>2037</v>
      </c>
      <c r="J250" s="3">
        <v>1</v>
      </c>
      <c r="K250" s="3">
        <v>0</v>
      </c>
      <c r="L250" s="4">
        <v>12.5</v>
      </c>
      <c r="M250" s="3" t="s">
        <v>2042</v>
      </c>
      <c r="N250" s="3" t="s">
        <v>28</v>
      </c>
      <c r="O250" s="3">
        <v>0</v>
      </c>
      <c r="P250" s="3">
        <v>0</v>
      </c>
      <c r="Q250" s="24">
        <v>9000</v>
      </c>
      <c r="R250" s="3">
        <f t="shared" si="3"/>
        <v>0</v>
      </c>
    </row>
    <row r="251" spans="1:18" x14ac:dyDescent="0.3">
      <c r="A251" s="3" t="s">
        <v>693</v>
      </c>
      <c r="B251" s="4" t="s">
        <v>2834</v>
      </c>
      <c r="C251" s="19" t="s">
        <v>2833</v>
      </c>
      <c r="D251" s="19" t="s">
        <v>2832</v>
      </c>
      <c r="E251" s="3" t="s">
        <v>3167</v>
      </c>
      <c r="F251" s="3"/>
      <c r="G251" s="3"/>
      <c r="H251" s="3" t="s">
        <v>3135</v>
      </c>
      <c r="I251" s="3" t="s">
        <v>2037</v>
      </c>
      <c r="J251" s="3">
        <v>1</v>
      </c>
      <c r="K251" s="3">
        <v>0</v>
      </c>
      <c r="L251" s="4">
        <v>95</v>
      </c>
      <c r="M251" s="3" t="s">
        <v>2160</v>
      </c>
      <c r="N251" s="3" t="s">
        <v>28</v>
      </c>
      <c r="O251" s="3">
        <v>0</v>
      </c>
      <c r="P251" s="3">
        <v>0</v>
      </c>
      <c r="Q251" s="24">
        <v>9000</v>
      </c>
      <c r="R251" s="3">
        <f t="shared" si="3"/>
        <v>0</v>
      </c>
    </row>
    <row r="252" spans="1:18" x14ac:dyDescent="0.3">
      <c r="A252" s="3" t="s">
        <v>686</v>
      </c>
      <c r="B252" s="4" t="s">
        <v>2837</v>
      </c>
      <c r="C252" s="19" t="s">
        <v>2836</v>
      </c>
      <c r="D252" s="19" t="s">
        <v>2835</v>
      </c>
      <c r="E252" s="3" t="s">
        <v>3167</v>
      </c>
      <c r="F252" s="3"/>
      <c r="G252" s="3"/>
      <c r="H252" s="3" t="s">
        <v>3165</v>
      </c>
      <c r="I252" s="3" t="s">
        <v>2037</v>
      </c>
      <c r="J252" s="3">
        <v>1</v>
      </c>
      <c r="K252" s="3">
        <v>0</v>
      </c>
      <c r="L252" s="4">
        <v>48</v>
      </c>
      <c r="M252" s="3" t="s">
        <v>2042</v>
      </c>
      <c r="N252" s="3" t="s">
        <v>28</v>
      </c>
      <c r="O252" s="3">
        <v>0</v>
      </c>
      <c r="P252" s="3">
        <v>0</v>
      </c>
      <c r="Q252" s="24">
        <v>9000</v>
      </c>
      <c r="R252" s="3">
        <f t="shared" si="3"/>
        <v>0</v>
      </c>
    </row>
    <row r="253" spans="1:18" x14ac:dyDescent="0.3">
      <c r="A253" s="3" t="s">
        <v>686</v>
      </c>
      <c r="B253" s="4" t="s">
        <v>2840</v>
      </c>
      <c r="C253" s="19" t="s">
        <v>2839</v>
      </c>
      <c r="D253" s="19" t="s">
        <v>2838</v>
      </c>
      <c r="E253" s="3" t="s">
        <v>3167</v>
      </c>
      <c r="F253" s="3"/>
      <c r="G253" s="3"/>
      <c r="H253" s="3" t="s">
        <v>3165</v>
      </c>
      <c r="I253" s="3" t="s">
        <v>2037</v>
      </c>
      <c r="J253" s="3">
        <v>1</v>
      </c>
      <c r="K253" s="3">
        <v>0</v>
      </c>
      <c r="L253" s="4">
        <v>30.62</v>
      </c>
      <c r="M253" s="3" t="s">
        <v>2042</v>
      </c>
      <c r="N253" s="3" t="s">
        <v>28</v>
      </c>
      <c r="O253" s="3">
        <v>0</v>
      </c>
      <c r="P253" s="3">
        <v>0</v>
      </c>
      <c r="Q253" s="24">
        <v>9000</v>
      </c>
      <c r="R253" s="3">
        <f t="shared" si="3"/>
        <v>0</v>
      </c>
    </row>
    <row r="254" spans="1:18" x14ac:dyDescent="0.3">
      <c r="A254" s="3" t="s">
        <v>677</v>
      </c>
      <c r="B254" s="4" t="s">
        <v>2843</v>
      </c>
      <c r="C254" s="19" t="s">
        <v>2842</v>
      </c>
      <c r="D254" s="19" t="s">
        <v>2841</v>
      </c>
      <c r="E254" s="3" t="s">
        <v>3167</v>
      </c>
      <c r="F254" s="3"/>
      <c r="G254" s="3"/>
      <c r="H254" s="3" t="s">
        <v>3150</v>
      </c>
      <c r="I254" s="3" t="s">
        <v>2037</v>
      </c>
      <c r="J254" s="3">
        <v>1</v>
      </c>
      <c r="K254" s="3">
        <v>0</v>
      </c>
      <c r="L254" s="4">
        <v>44.35</v>
      </c>
      <c r="M254" s="3" t="s">
        <v>2042</v>
      </c>
      <c r="N254" s="3" t="s">
        <v>28</v>
      </c>
      <c r="O254" s="3">
        <v>0</v>
      </c>
      <c r="P254" s="3">
        <v>0</v>
      </c>
      <c r="Q254" s="24">
        <v>9000</v>
      </c>
      <c r="R254" s="3">
        <f t="shared" si="3"/>
        <v>0</v>
      </c>
    </row>
    <row r="255" spans="1:18" x14ac:dyDescent="0.3">
      <c r="A255" s="3" t="s">
        <v>677</v>
      </c>
      <c r="B255" s="4" t="s">
        <v>2846</v>
      </c>
      <c r="C255" s="19" t="s">
        <v>2845</v>
      </c>
      <c r="D255" s="19" t="s">
        <v>2844</v>
      </c>
      <c r="E255" s="3" t="s">
        <v>3167</v>
      </c>
      <c r="F255" s="3"/>
      <c r="G255" s="3"/>
      <c r="H255" s="3" t="s">
        <v>3150</v>
      </c>
      <c r="I255" s="3" t="s">
        <v>2037</v>
      </c>
      <c r="J255" s="3">
        <v>1</v>
      </c>
      <c r="K255" s="3">
        <v>0</v>
      </c>
      <c r="L255" s="4">
        <v>14.8</v>
      </c>
      <c r="M255" s="3" t="s">
        <v>2042</v>
      </c>
      <c r="N255" s="3" t="s">
        <v>28</v>
      </c>
      <c r="O255" s="3">
        <v>0</v>
      </c>
      <c r="P255" s="3">
        <v>0</v>
      </c>
      <c r="Q255" s="24">
        <v>9000</v>
      </c>
      <c r="R255" s="3">
        <f t="shared" si="3"/>
        <v>0</v>
      </c>
    </row>
    <row r="256" spans="1:18" x14ac:dyDescent="0.3">
      <c r="A256" s="3" t="s">
        <v>683</v>
      </c>
      <c r="B256" s="4" t="s">
        <v>2849</v>
      </c>
      <c r="C256" s="19" t="s">
        <v>2848</v>
      </c>
      <c r="D256" s="19" t="s">
        <v>2847</v>
      </c>
      <c r="E256" s="3" t="s">
        <v>3167</v>
      </c>
      <c r="F256" s="3"/>
      <c r="G256" s="3"/>
      <c r="H256" s="3" t="s">
        <v>3135</v>
      </c>
      <c r="I256" s="3" t="s">
        <v>2037</v>
      </c>
      <c r="J256" s="3">
        <v>1</v>
      </c>
      <c r="K256" s="3">
        <v>0</v>
      </c>
      <c r="L256" s="4">
        <v>95</v>
      </c>
      <c r="M256" s="3" t="s">
        <v>2160</v>
      </c>
      <c r="N256" s="3" t="s">
        <v>28</v>
      </c>
      <c r="O256" s="3">
        <v>0</v>
      </c>
      <c r="P256" s="3">
        <v>0</v>
      </c>
      <c r="Q256" s="24">
        <v>9000</v>
      </c>
      <c r="R256" s="3">
        <f t="shared" si="3"/>
        <v>0</v>
      </c>
    </row>
    <row r="257" spans="1:18" x14ac:dyDescent="0.3">
      <c r="A257" s="3" t="s">
        <v>696</v>
      </c>
      <c r="B257" s="4" t="s">
        <v>2852</v>
      </c>
      <c r="C257" s="19" t="s">
        <v>2851</v>
      </c>
      <c r="D257" s="19" t="s">
        <v>2850</v>
      </c>
      <c r="E257" s="3" t="s">
        <v>3167</v>
      </c>
      <c r="F257" s="3"/>
      <c r="G257" s="3"/>
      <c r="H257" s="3" t="s">
        <v>3160</v>
      </c>
      <c r="I257" s="3" t="s">
        <v>2037</v>
      </c>
      <c r="J257" s="3">
        <v>1</v>
      </c>
      <c r="K257" s="3">
        <v>0</v>
      </c>
      <c r="L257" s="4">
        <v>40.9</v>
      </c>
      <c r="M257" s="3" t="s">
        <v>2042</v>
      </c>
      <c r="N257" s="3" t="s">
        <v>28</v>
      </c>
      <c r="O257" s="3">
        <v>0</v>
      </c>
      <c r="P257" s="3">
        <v>0</v>
      </c>
      <c r="Q257" s="24">
        <v>9000</v>
      </c>
      <c r="R257" s="3">
        <f t="shared" si="3"/>
        <v>0</v>
      </c>
    </row>
    <row r="258" spans="1:18" x14ac:dyDescent="0.3">
      <c r="A258" s="3" t="s">
        <v>711</v>
      </c>
      <c r="B258" s="4" t="s">
        <v>2855</v>
      </c>
      <c r="C258" s="19" t="s">
        <v>2854</v>
      </c>
      <c r="D258" s="19" t="s">
        <v>2853</v>
      </c>
      <c r="E258" s="3" t="s">
        <v>3167</v>
      </c>
      <c r="F258" s="3"/>
      <c r="G258" s="3"/>
      <c r="H258" s="3" t="s">
        <v>3165</v>
      </c>
      <c r="I258" s="3" t="s">
        <v>2037</v>
      </c>
      <c r="J258" s="3">
        <v>1</v>
      </c>
      <c r="K258" s="3">
        <v>0</v>
      </c>
      <c r="L258" s="4">
        <v>20.5</v>
      </c>
      <c r="M258" s="3" t="s">
        <v>2042</v>
      </c>
      <c r="N258" s="3" t="s">
        <v>28</v>
      </c>
      <c r="O258" s="3">
        <v>0</v>
      </c>
      <c r="P258" s="3">
        <v>0</v>
      </c>
      <c r="Q258" s="24">
        <v>9000</v>
      </c>
      <c r="R258" s="3">
        <f t="shared" si="3"/>
        <v>0</v>
      </c>
    </row>
    <row r="259" spans="1:18" x14ac:dyDescent="0.3">
      <c r="A259" s="3" t="s">
        <v>703</v>
      </c>
      <c r="B259" s="4" t="s">
        <v>2858</v>
      </c>
      <c r="C259" s="19" t="s">
        <v>2857</v>
      </c>
      <c r="D259" s="19" t="s">
        <v>2856</v>
      </c>
      <c r="E259" s="3" t="s">
        <v>33</v>
      </c>
      <c r="F259" s="3"/>
      <c r="G259" s="3"/>
      <c r="H259" s="3" t="s">
        <v>3135</v>
      </c>
      <c r="I259" s="3" t="s">
        <v>2037</v>
      </c>
      <c r="J259" s="3">
        <v>0</v>
      </c>
      <c r="K259" s="3">
        <v>0</v>
      </c>
      <c r="L259" s="4">
        <v>0</v>
      </c>
      <c r="M259" s="12" t="s">
        <v>2377</v>
      </c>
      <c r="N259" s="3" t="s">
        <v>30</v>
      </c>
      <c r="O259" s="3">
        <v>0</v>
      </c>
      <c r="P259" s="3">
        <v>0</v>
      </c>
      <c r="Q259" s="24">
        <v>7000</v>
      </c>
      <c r="R259" s="3">
        <f t="shared" ref="R259:R295" si="4">O259</f>
        <v>0</v>
      </c>
    </row>
    <row r="260" spans="1:18" x14ac:dyDescent="0.3">
      <c r="A260" s="3" t="s">
        <v>703</v>
      </c>
      <c r="B260" s="4" t="s">
        <v>2861</v>
      </c>
      <c r="C260" s="19" t="s">
        <v>2860</v>
      </c>
      <c r="D260" s="19" t="s">
        <v>2859</v>
      </c>
      <c r="E260" s="3" t="s">
        <v>33</v>
      </c>
      <c r="F260" s="3"/>
      <c r="G260" s="3"/>
      <c r="H260" s="3" t="s">
        <v>3135</v>
      </c>
      <c r="I260" s="3" t="s">
        <v>2037</v>
      </c>
      <c r="J260" s="3">
        <v>1</v>
      </c>
      <c r="K260" s="3">
        <v>16</v>
      </c>
      <c r="L260" s="4">
        <v>260</v>
      </c>
      <c r="M260" s="3" t="s">
        <v>2132</v>
      </c>
      <c r="N260" s="3" t="s">
        <v>30</v>
      </c>
      <c r="O260" s="3">
        <v>132.62</v>
      </c>
      <c r="P260" s="3" t="s">
        <v>2862</v>
      </c>
      <c r="Q260" s="24" t="str">
        <f>_xlfn.XLOOKUP(C260,[1]DailyCommercialOfferData!$A$2:$A$164,[1]DailyCommercialOfferData!$C$2:$C$164,0)</f>
        <v>132.62</v>
      </c>
      <c r="R260" s="3">
        <f t="shared" si="4"/>
        <v>132.62</v>
      </c>
    </row>
    <row r="261" spans="1:18" x14ac:dyDescent="0.3">
      <c r="A261" s="3" t="s">
        <v>708</v>
      </c>
      <c r="B261" s="4" t="s">
        <v>2865</v>
      </c>
      <c r="C261" s="19" t="s">
        <v>2864</v>
      </c>
      <c r="D261" s="19" t="s">
        <v>2863</v>
      </c>
      <c r="E261" s="3" t="s">
        <v>33</v>
      </c>
      <c r="F261" s="3"/>
      <c r="G261" s="3"/>
      <c r="H261" s="3" t="s">
        <v>3135</v>
      </c>
      <c r="I261" s="3" t="s">
        <v>2866</v>
      </c>
      <c r="J261" s="3">
        <v>1</v>
      </c>
      <c r="K261" s="3">
        <v>120</v>
      </c>
      <c r="L261" s="4">
        <v>240</v>
      </c>
      <c r="M261" s="3" t="s">
        <v>2071</v>
      </c>
      <c r="N261" s="3" t="s">
        <v>30</v>
      </c>
      <c r="O261" s="3">
        <v>78.55</v>
      </c>
      <c r="P261" s="3" t="s">
        <v>2867</v>
      </c>
      <c r="Q261" s="24" t="str">
        <f>_xlfn.XLOOKUP(C261,[1]DailyCommercialOfferData!$A$2:$A$164,[1]DailyCommercialOfferData!$C$2:$C$164,0)</f>
        <v>77.63</v>
      </c>
      <c r="R261" s="3">
        <f t="shared" si="4"/>
        <v>78.55</v>
      </c>
    </row>
    <row r="262" spans="1:18" x14ac:dyDescent="0.3">
      <c r="A262" s="3" t="s">
        <v>708</v>
      </c>
      <c r="B262" s="4" t="s">
        <v>2870</v>
      </c>
      <c r="C262" s="19" t="s">
        <v>2869</v>
      </c>
      <c r="D262" s="19" t="s">
        <v>2868</v>
      </c>
      <c r="E262" s="3" t="s">
        <v>33</v>
      </c>
      <c r="F262" s="3"/>
      <c r="G262" s="3"/>
      <c r="H262" s="3" t="s">
        <v>3135</v>
      </c>
      <c r="I262" s="3" t="s">
        <v>2866</v>
      </c>
      <c r="J262" s="3">
        <v>1</v>
      </c>
      <c r="K262" s="3">
        <v>120</v>
      </c>
      <c r="L262" s="4">
        <v>236</v>
      </c>
      <c r="M262" s="3" t="s">
        <v>2071</v>
      </c>
      <c r="N262" s="3" t="s">
        <v>30</v>
      </c>
      <c r="O262" s="3">
        <v>78.540000000000006</v>
      </c>
      <c r="P262" s="3" t="s">
        <v>2867</v>
      </c>
      <c r="Q262" s="24" t="str">
        <f>_xlfn.XLOOKUP(C262,[1]DailyCommercialOfferData!$A$2:$A$164,[1]DailyCommercialOfferData!$C$2:$C$164,0)</f>
        <v>77.64</v>
      </c>
      <c r="R262" s="3">
        <f t="shared" si="4"/>
        <v>78.540000000000006</v>
      </c>
    </row>
    <row r="263" spans="1:18" x14ac:dyDescent="0.3">
      <c r="A263" s="3" t="s">
        <v>496</v>
      </c>
      <c r="B263" s="4" t="s">
        <v>2873</v>
      </c>
      <c r="C263" s="19" t="s">
        <v>2872</v>
      </c>
      <c r="D263" s="19" t="s">
        <v>2871</v>
      </c>
      <c r="E263" s="3" t="s">
        <v>3167</v>
      </c>
      <c r="F263" s="3"/>
      <c r="G263" s="3"/>
      <c r="H263" s="3" t="s">
        <v>3158</v>
      </c>
      <c r="I263" s="3" t="s">
        <v>2037</v>
      </c>
      <c r="J263" s="3">
        <v>1</v>
      </c>
      <c r="K263" s="3">
        <v>0</v>
      </c>
      <c r="L263" s="4">
        <v>73.599999999999994</v>
      </c>
      <c r="M263" s="3" t="s">
        <v>2042</v>
      </c>
      <c r="N263" s="3" t="s">
        <v>28</v>
      </c>
      <c r="O263" s="3">
        <v>0</v>
      </c>
      <c r="P263" s="3">
        <v>0</v>
      </c>
      <c r="Q263" s="24">
        <v>9000</v>
      </c>
      <c r="R263" s="3">
        <f t="shared" si="4"/>
        <v>0</v>
      </c>
    </row>
    <row r="264" spans="1:18" x14ac:dyDescent="0.3">
      <c r="A264" s="3" t="s">
        <v>321</v>
      </c>
      <c r="B264" s="4" t="s">
        <v>2876</v>
      </c>
      <c r="C264" s="19" t="s">
        <v>2875</v>
      </c>
      <c r="D264" s="19" t="s">
        <v>2874</v>
      </c>
      <c r="E264" s="3" t="s">
        <v>3167</v>
      </c>
      <c r="F264" s="3"/>
      <c r="G264" s="3"/>
      <c r="H264" s="3" t="s">
        <v>3138</v>
      </c>
      <c r="I264" s="3" t="s">
        <v>2037</v>
      </c>
      <c r="J264" s="3">
        <v>1</v>
      </c>
      <c r="K264" s="3">
        <v>0</v>
      </c>
      <c r="L264" s="4">
        <v>105</v>
      </c>
      <c r="M264" s="3" t="s">
        <v>2042</v>
      </c>
      <c r="N264" s="3" t="s">
        <v>28</v>
      </c>
      <c r="O264" s="3">
        <v>0</v>
      </c>
      <c r="P264" s="3">
        <v>0</v>
      </c>
      <c r="Q264" s="24">
        <v>9000</v>
      </c>
      <c r="R264" s="3">
        <f t="shared" si="4"/>
        <v>0</v>
      </c>
    </row>
    <row r="265" spans="1:18" x14ac:dyDescent="0.3">
      <c r="A265" s="3" t="s">
        <v>742</v>
      </c>
      <c r="B265" s="21" t="s">
        <v>2879</v>
      </c>
      <c r="C265" s="20" t="s">
        <v>2878</v>
      </c>
      <c r="D265" s="19" t="s">
        <v>2877</v>
      </c>
      <c r="E265" s="3" t="s">
        <v>33</v>
      </c>
      <c r="F265" s="3"/>
      <c r="G265" s="3"/>
      <c r="H265" s="3" t="s">
        <v>3142</v>
      </c>
      <c r="I265" s="3" t="s">
        <v>2131</v>
      </c>
      <c r="J265" s="3">
        <v>1</v>
      </c>
      <c r="K265" s="3">
        <v>1</v>
      </c>
      <c r="L265" s="4">
        <v>20</v>
      </c>
      <c r="M265" s="3" t="s">
        <v>2071</v>
      </c>
      <c r="N265" s="3" t="s">
        <v>30</v>
      </c>
      <c r="O265" s="3">
        <v>422.44</v>
      </c>
      <c r="P265" s="3" t="s">
        <v>2880</v>
      </c>
      <c r="Q265" s="24" t="str">
        <f>_xlfn.XLOOKUP(C265,[1]DailyCommercialOfferData!$A$2:$A$164,[1]DailyCommercialOfferData!$C$2:$C$164,0)</f>
        <v>331.49</v>
      </c>
      <c r="R265" s="3">
        <f t="shared" si="4"/>
        <v>422.44</v>
      </c>
    </row>
    <row r="266" spans="1:18" x14ac:dyDescent="0.3">
      <c r="A266" s="3" t="s">
        <v>746</v>
      </c>
      <c r="B266" s="4" t="s">
        <v>2883</v>
      </c>
      <c r="C266" s="19" t="s">
        <v>2882</v>
      </c>
      <c r="D266" s="19" t="s">
        <v>2881</v>
      </c>
      <c r="E266" s="3" t="s">
        <v>3167</v>
      </c>
      <c r="F266" s="3"/>
      <c r="G266" s="3"/>
      <c r="H266" s="3" t="s">
        <v>3166</v>
      </c>
      <c r="I266" s="3" t="s">
        <v>2037</v>
      </c>
      <c r="J266" s="3">
        <v>1</v>
      </c>
      <c r="K266" s="3">
        <v>0</v>
      </c>
      <c r="L266" s="4">
        <v>19.2</v>
      </c>
      <c r="M266" s="3" t="s">
        <v>2042</v>
      </c>
      <c r="N266" s="3" t="s">
        <v>28</v>
      </c>
      <c r="O266" s="3">
        <v>0</v>
      </c>
      <c r="P266" s="3">
        <v>0</v>
      </c>
      <c r="Q266" s="24">
        <v>9000</v>
      </c>
      <c r="R266" s="3">
        <f t="shared" si="4"/>
        <v>0</v>
      </c>
    </row>
    <row r="267" spans="1:18" x14ac:dyDescent="0.3">
      <c r="A267" s="3" t="s">
        <v>746</v>
      </c>
      <c r="B267" s="4" t="s">
        <v>2886</v>
      </c>
      <c r="C267" s="19" t="s">
        <v>2885</v>
      </c>
      <c r="D267" s="19" t="s">
        <v>2884</v>
      </c>
      <c r="E267" s="3" t="s">
        <v>33</v>
      </c>
      <c r="F267" s="3"/>
      <c r="G267" s="3"/>
      <c r="H267" s="3" t="s">
        <v>3166</v>
      </c>
      <c r="I267" s="3" t="s">
        <v>2366</v>
      </c>
      <c r="J267" s="3">
        <v>1</v>
      </c>
      <c r="K267" s="3">
        <v>5</v>
      </c>
      <c r="L267" s="4">
        <v>52</v>
      </c>
      <c r="M267" s="3" t="s">
        <v>2132</v>
      </c>
      <c r="N267" s="3" t="s">
        <v>30</v>
      </c>
      <c r="O267" s="3">
        <v>213.18</v>
      </c>
      <c r="P267" s="3" t="s">
        <v>2887</v>
      </c>
      <c r="Q267" s="24" t="str">
        <f>_xlfn.XLOOKUP(C267,[1]DailyCommercialOfferData!$A$2:$A$164,[1]DailyCommercialOfferData!$C$2:$C$164,0)</f>
        <v>193.76</v>
      </c>
      <c r="R267" s="3">
        <f t="shared" si="4"/>
        <v>213.18</v>
      </c>
    </row>
    <row r="268" spans="1:18" x14ac:dyDescent="0.3">
      <c r="A268" s="3" t="s">
        <v>746</v>
      </c>
      <c r="B268" s="4" t="s">
        <v>2890</v>
      </c>
      <c r="C268" s="19" t="s">
        <v>2889</v>
      </c>
      <c r="D268" s="19" t="s">
        <v>2888</v>
      </c>
      <c r="E268" s="3" t="s">
        <v>33</v>
      </c>
      <c r="F268" s="3"/>
      <c r="G268" s="3"/>
      <c r="H268" s="3" t="s">
        <v>3166</v>
      </c>
      <c r="I268" s="3" t="s">
        <v>2366</v>
      </c>
      <c r="J268" s="3">
        <v>1</v>
      </c>
      <c r="K268" s="3">
        <v>5</v>
      </c>
      <c r="L268" s="4">
        <v>52</v>
      </c>
      <c r="M268" s="3" t="s">
        <v>2132</v>
      </c>
      <c r="N268" s="3" t="s">
        <v>30</v>
      </c>
      <c r="O268" s="3">
        <v>213.18</v>
      </c>
      <c r="P268" s="3" t="s">
        <v>2887</v>
      </c>
      <c r="Q268" s="24" t="str">
        <f>_xlfn.XLOOKUP(C268,[1]DailyCommercialOfferData!$A$2:$A$164,[1]DailyCommercialOfferData!$C$2:$C$164,0)</f>
        <v>193.76</v>
      </c>
      <c r="R268" s="3">
        <f t="shared" si="4"/>
        <v>213.18</v>
      </c>
    </row>
    <row r="269" spans="1:18" x14ac:dyDescent="0.3">
      <c r="A269" s="3" t="s">
        <v>761</v>
      </c>
      <c r="B269" s="4" t="s">
        <v>2893</v>
      </c>
      <c r="C269" s="19" t="s">
        <v>2892</v>
      </c>
      <c r="D269" s="19" t="s">
        <v>2891</v>
      </c>
      <c r="E269" s="3" t="s">
        <v>3167</v>
      </c>
      <c r="F269" s="3"/>
      <c r="G269" s="3"/>
      <c r="H269" s="3" t="s">
        <v>3138</v>
      </c>
      <c r="I269" s="3" t="s">
        <v>2037</v>
      </c>
      <c r="J269" s="3">
        <v>1</v>
      </c>
      <c r="K269" s="3">
        <v>0</v>
      </c>
      <c r="L269" s="4">
        <v>11.5</v>
      </c>
      <c r="M269" s="3" t="s">
        <v>2042</v>
      </c>
      <c r="N269" s="3" t="s">
        <v>28</v>
      </c>
      <c r="O269" s="3">
        <v>0</v>
      </c>
      <c r="P269" s="3">
        <v>0</v>
      </c>
      <c r="Q269" s="24">
        <v>9000</v>
      </c>
      <c r="R269" s="3">
        <f t="shared" si="4"/>
        <v>0</v>
      </c>
    </row>
    <row r="270" spans="1:18" x14ac:dyDescent="0.3">
      <c r="A270" s="3" t="s">
        <v>761</v>
      </c>
      <c r="B270" s="4" t="s">
        <v>2896</v>
      </c>
      <c r="C270" s="19" t="s">
        <v>2895</v>
      </c>
      <c r="D270" s="19" t="s">
        <v>2894</v>
      </c>
      <c r="E270" s="3" t="s">
        <v>3167</v>
      </c>
      <c r="F270" s="3"/>
      <c r="G270" s="3"/>
      <c r="H270" s="3" t="s">
        <v>3138</v>
      </c>
      <c r="I270" s="3" t="s">
        <v>2037</v>
      </c>
      <c r="J270" s="3">
        <v>1</v>
      </c>
      <c r="K270" s="3">
        <v>0</v>
      </c>
      <c r="L270" s="4">
        <v>13.8</v>
      </c>
      <c r="M270" s="3" t="s">
        <v>2042</v>
      </c>
      <c r="N270" s="3" t="s">
        <v>28</v>
      </c>
      <c r="O270" s="3">
        <v>0</v>
      </c>
      <c r="P270" s="3">
        <v>0</v>
      </c>
      <c r="Q270" s="24">
        <v>9000</v>
      </c>
      <c r="R270" s="3">
        <f t="shared" si="4"/>
        <v>0</v>
      </c>
    </row>
    <row r="271" spans="1:18" x14ac:dyDescent="0.3">
      <c r="A271" s="3" t="s">
        <v>764</v>
      </c>
      <c r="B271" s="4" t="s">
        <v>2899</v>
      </c>
      <c r="C271" s="19" t="s">
        <v>2898</v>
      </c>
      <c r="D271" s="19" t="s">
        <v>2897</v>
      </c>
      <c r="E271" s="3" t="s">
        <v>3167</v>
      </c>
      <c r="F271" s="3"/>
      <c r="G271" s="3"/>
      <c r="H271" s="3" t="s">
        <v>3135</v>
      </c>
      <c r="I271" s="3" t="s">
        <v>2037</v>
      </c>
      <c r="J271" s="3">
        <v>1</v>
      </c>
      <c r="K271" s="3">
        <v>0</v>
      </c>
      <c r="L271" s="4">
        <v>17.25</v>
      </c>
      <c r="M271" s="3" t="s">
        <v>2042</v>
      </c>
      <c r="N271" s="3" t="s">
        <v>28</v>
      </c>
      <c r="O271" s="3">
        <v>0</v>
      </c>
      <c r="P271" s="3">
        <v>0</v>
      </c>
      <c r="Q271" s="24">
        <v>9000</v>
      </c>
      <c r="R271" s="3">
        <f t="shared" si="4"/>
        <v>0</v>
      </c>
    </row>
    <row r="272" spans="1:18" x14ac:dyDescent="0.3">
      <c r="A272" s="3" t="s">
        <v>758</v>
      </c>
      <c r="B272" s="4" t="s">
        <v>2902</v>
      </c>
      <c r="C272" s="19" t="s">
        <v>2901</v>
      </c>
      <c r="D272" s="19" t="s">
        <v>2900</v>
      </c>
      <c r="E272" s="3" t="s">
        <v>3167</v>
      </c>
      <c r="F272" s="3"/>
      <c r="G272" s="3"/>
      <c r="H272" s="3" t="s">
        <v>3135</v>
      </c>
      <c r="I272" s="3" t="s">
        <v>2037</v>
      </c>
      <c r="J272" s="3">
        <v>1</v>
      </c>
      <c r="K272" s="3">
        <v>0</v>
      </c>
      <c r="L272" s="4">
        <v>70</v>
      </c>
      <c r="M272" s="3" t="s">
        <v>2042</v>
      </c>
      <c r="N272" s="3" t="s">
        <v>28</v>
      </c>
      <c r="O272" s="3">
        <v>0</v>
      </c>
      <c r="P272" s="3">
        <v>0</v>
      </c>
      <c r="Q272" s="24">
        <v>9000</v>
      </c>
      <c r="R272" s="3">
        <f t="shared" si="4"/>
        <v>0</v>
      </c>
    </row>
    <row r="273" spans="1:18" x14ac:dyDescent="0.3">
      <c r="A273" s="3" t="s">
        <v>780</v>
      </c>
      <c r="B273" s="4" t="s">
        <v>2905</v>
      </c>
      <c r="C273" s="19" t="s">
        <v>2904</v>
      </c>
      <c r="D273" s="19" t="s">
        <v>2903</v>
      </c>
      <c r="E273" s="3" t="s">
        <v>3167</v>
      </c>
      <c r="F273" s="3"/>
      <c r="G273" s="3"/>
      <c r="H273" s="3" t="s">
        <v>3140</v>
      </c>
      <c r="I273" s="3" t="s">
        <v>2037</v>
      </c>
      <c r="J273" s="3">
        <v>1</v>
      </c>
      <c r="K273" s="3">
        <v>0</v>
      </c>
      <c r="L273" s="4">
        <v>13.3</v>
      </c>
      <c r="M273" s="3" t="s">
        <v>2042</v>
      </c>
      <c r="N273" s="3" t="s">
        <v>28</v>
      </c>
      <c r="O273" s="3">
        <v>0</v>
      </c>
      <c r="P273" s="3">
        <v>0</v>
      </c>
      <c r="Q273" s="24">
        <v>9000</v>
      </c>
      <c r="R273" s="3">
        <f t="shared" si="4"/>
        <v>0</v>
      </c>
    </row>
    <row r="274" spans="1:18" x14ac:dyDescent="0.3">
      <c r="A274" s="3" t="s">
        <v>780</v>
      </c>
      <c r="B274" s="4" t="s">
        <v>2908</v>
      </c>
      <c r="C274" s="19" t="s">
        <v>2907</v>
      </c>
      <c r="D274" s="19" t="s">
        <v>2906</v>
      </c>
      <c r="E274" s="3" t="s">
        <v>3167</v>
      </c>
      <c r="F274" s="3"/>
      <c r="G274" s="3"/>
      <c r="H274" s="3" t="s">
        <v>3140</v>
      </c>
      <c r="I274" s="3" t="s">
        <v>2037</v>
      </c>
      <c r="J274" s="3">
        <v>1</v>
      </c>
      <c r="K274" s="3">
        <v>0</v>
      </c>
      <c r="L274" s="4">
        <v>15.18</v>
      </c>
      <c r="M274" s="3" t="s">
        <v>2042</v>
      </c>
      <c r="N274" s="3" t="s">
        <v>28</v>
      </c>
      <c r="O274" s="3">
        <v>0</v>
      </c>
      <c r="P274" s="3">
        <v>0</v>
      </c>
      <c r="Q274" s="24">
        <v>9000</v>
      </c>
      <c r="R274" s="3">
        <f t="shared" si="4"/>
        <v>0</v>
      </c>
    </row>
    <row r="275" spans="1:18" x14ac:dyDescent="0.3">
      <c r="A275" s="3" t="s">
        <v>775</v>
      </c>
      <c r="B275" s="4" t="s">
        <v>2911</v>
      </c>
      <c r="C275" s="19" t="s">
        <v>2910</v>
      </c>
      <c r="D275" s="19" t="s">
        <v>2909</v>
      </c>
      <c r="E275" s="3" t="s">
        <v>3167</v>
      </c>
      <c r="F275" s="3"/>
      <c r="G275" s="3"/>
      <c r="H275" s="3" t="s">
        <v>3158</v>
      </c>
      <c r="I275" s="3" t="s">
        <v>2037</v>
      </c>
      <c r="J275" s="3">
        <v>1</v>
      </c>
      <c r="K275" s="3">
        <v>0</v>
      </c>
      <c r="L275" s="4">
        <v>15</v>
      </c>
      <c r="M275" s="3" t="s">
        <v>2042</v>
      </c>
      <c r="N275" s="3" t="s">
        <v>28</v>
      </c>
      <c r="O275" s="3">
        <v>0</v>
      </c>
      <c r="P275" s="3">
        <v>0</v>
      </c>
      <c r="Q275" s="24">
        <v>9000</v>
      </c>
      <c r="R275" s="3">
        <f t="shared" si="4"/>
        <v>0</v>
      </c>
    </row>
    <row r="276" spans="1:18" x14ac:dyDescent="0.3">
      <c r="A276" s="3" t="s">
        <v>775</v>
      </c>
      <c r="B276" s="4" t="s">
        <v>2914</v>
      </c>
      <c r="C276" s="19" t="s">
        <v>2913</v>
      </c>
      <c r="D276" s="19" t="s">
        <v>2912</v>
      </c>
      <c r="E276" s="3" t="s">
        <v>3167</v>
      </c>
      <c r="F276" s="3"/>
      <c r="G276" s="3"/>
      <c r="H276" s="3" t="s">
        <v>3158</v>
      </c>
      <c r="I276" s="3" t="s">
        <v>2037</v>
      </c>
      <c r="J276" s="3">
        <v>1</v>
      </c>
      <c r="K276" s="3">
        <v>0</v>
      </c>
      <c r="L276" s="4">
        <v>13.8</v>
      </c>
      <c r="M276" s="3" t="s">
        <v>2042</v>
      </c>
      <c r="N276" s="3" t="s">
        <v>28</v>
      </c>
      <c r="O276" s="3">
        <v>0</v>
      </c>
      <c r="P276" s="3">
        <v>0</v>
      </c>
      <c r="Q276" s="24">
        <v>9000</v>
      </c>
      <c r="R276" s="3">
        <f t="shared" si="4"/>
        <v>0</v>
      </c>
    </row>
    <row r="277" spans="1:18" x14ac:dyDescent="0.3">
      <c r="A277" s="3" t="s">
        <v>775</v>
      </c>
      <c r="B277" s="4" t="s">
        <v>2917</v>
      </c>
      <c r="C277" s="19" t="s">
        <v>2916</v>
      </c>
      <c r="D277" s="19" t="s">
        <v>2915</v>
      </c>
      <c r="E277" s="3" t="s">
        <v>3167</v>
      </c>
      <c r="F277" s="3"/>
      <c r="G277" s="3"/>
      <c r="H277" s="3" t="s">
        <v>3158</v>
      </c>
      <c r="I277" s="3" t="s">
        <v>2037</v>
      </c>
      <c r="J277" s="3">
        <v>1</v>
      </c>
      <c r="K277" s="3">
        <v>0</v>
      </c>
      <c r="L277" s="4">
        <v>13.8</v>
      </c>
      <c r="M277" s="3" t="s">
        <v>2042</v>
      </c>
      <c r="N277" s="3" t="s">
        <v>28</v>
      </c>
      <c r="O277" s="3">
        <v>0</v>
      </c>
      <c r="P277" s="3">
        <v>0</v>
      </c>
      <c r="Q277" s="24">
        <v>9000</v>
      </c>
      <c r="R277" s="3">
        <f t="shared" si="4"/>
        <v>0</v>
      </c>
    </row>
    <row r="278" spans="1:18" x14ac:dyDescent="0.3">
      <c r="A278" s="3" t="s">
        <v>775</v>
      </c>
      <c r="B278" s="4" t="s">
        <v>2920</v>
      </c>
      <c r="C278" s="19" t="s">
        <v>2919</v>
      </c>
      <c r="D278" s="19" t="s">
        <v>2918</v>
      </c>
      <c r="E278" s="3" t="s">
        <v>3167</v>
      </c>
      <c r="F278" s="3"/>
      <c r="G278" s="3"/>
      <c r="H278" s="3" t="s">
        <v>3158</v>
      </c>
      <c r="I278" s="3" t="s">
        <v>2037</v>
      </c>
      <c r="J278" s="3">
        <v>1</v>
      </c>
      <c r="K278" s="3">
        <v>0</v>
      </c>
      <c r="L278" s="4">
        <v>15</v>
      </c>
      <c r="M278" s="3" t="s">
        <v>2042</v>
      </c>
      <c r="N278" s="3" t="s">
        <v>28</v>
      </c>
      <c r="O278" s="3">
        <v>0</v>
      </c>
      <c r="P278" s="3">
        <v>0</v>
      </c>
      <c r="Q278" s="24">
        <v>9000</v>
      </c>
      <c r="R278" s="3">
        <f t="shared" si="4"/>
        <v>0</v>
      </c>
    </row>
    <row r="279" spans="1:18" x14ac:dyDescent="0.3">
      <c r="A279" s="3" t="s">
        <v>775</v>
      </c>
      <c r="B279" s="4" t="s">
        <v>2923</v>
      </c>
      <c r="C279" s="19" t="s">
        <v>2922</v>
      </c>
      <c r="D279" s="19" t="s">
        <v>2921</v>
      </c>
      <c r="E279" s="3" t="s">
        <v>3167</v>
      </c>
      <c r="F279" s="3"/>
      <c r="G279" s="3"/>
      <c r="H279" s="3" t="s">
        <v>3158</v>
      </c>
      <c r="I279" s="3" t="s">
        <v>2037</v>
      </c>
      <c r="J279" s="3">
        <v>1</v>
      </c>
      <c r="K279" s="3">
        <v>0</v>
      </c>
      <c r="L279" s="4">
        <v>12.5</v>
      </c>
      <c r="M279" s="3" t="s">
        <v>2042</v>
      </c>
      <c r="N279" s="3" t="s">
        <v>28</v>
      </c>
      <c r="O279" s="3">
        <v>0</v>
      </c>
      <c r="P279" s="3">
        <v>0</v>
      </c>
      <c r="Q279" s="24">
        <v>9000</v>
      </c>
      <c r="R279" s="3">
        <f t="shared" si="4"/>
        <v>0</v>
      </c>
    </row>
    <row r="280" spans="1:18" x14ac:dyDescent="0.3">
      <c r="A280" s="3" t="s">
        <v>778</v>
      </c>
      <c r="B280" s="4" t="s">
        <v>2926</v>
      </c>
      <c r="C280" s="19" t="s">
        <v>2925</v>
      </c>
      <c r="D280" s="19" t="s">
        <v>2924</v>
      </c>
      <c r="E280" s="3" t="s">
        <v>3167</v>
      </c>
      <c r="F280" s="3"/>
      <c r="G280" s="3"/>
      <c r="H280" s="3" t="s">
        <v>3140</v>
      </c>
      <c r="I280" s="3" t="s">
        <v>2037</v>
      </c>
      <c r="J280" s="3">
        <v>1</v>
      </c>
      <c r="K280" s="3">
        <v>0</v>
      </c>
      <c r="L280" s="4">
        <v>6.6</v>
      </c>
      <c r="M280" s="3" t="s">
        <v>2042</v>
      </c>
      <c r="N280" s="3" t="s">
        <v>28</v>
      </c>
      <c r="O280" s="3">
        <v>0</v>
      </c>
      <c r="P280" s="3">
        <v>0</v>
      </c>
      <c r="Q280" s="24">
        <v>9000</v>
      </c>
      <c r="R280" s="3">
        <f t="shared" si="4"/>
        <v>0</v>
      </c>
    </row>
    <row r="281" spans="1:18" x14ac:dyDescent="0.3">
      <c r="A281" s="3" t="s">
        <v>786</v>
      </c>
      <c r="B281" s="4" t="s">
        <v>2929</v>
      </c>
      <c r="C281" s="19" t="s">
        <v>2928</v>
      </c>
      <c r="D281" s="19" t="s">
        <v>2927</v>
      </c>
      <c r="E281" s="3" t="s">
        <v>3167</v>
      </c>
      <c r="F281" s="3"/>
      <c r="G281" s="3"/>
      <c r="H281" s="3" t="s">
        <v>3135</v>
      </c>
      <c r="I281" s="3" t="s">
        <v>2037</v>
      </c>
      <c r="J281" s="3">
        <v>1</v>
      </c>
      <c r="K281" s="3">
        <v>0</v>
      </c>
      <c r="L281" s="4">
        <v>50</v>
      </c>
      <c r="M281" s="3" t="s">
        <v>2160</v>
      </c>
      <c r="N281" s="3" t="s">
        <v>28</v>
      </c>
      <c r="O281" s="3">
        <v>0</v>
      </c>
      <c r="P281" s="3">
        <v>0</v>
      </c>
      <c r="Q281" s="24">
        <v>9000</v>
      </c>
      <c r="R281" s="3">
        <f t="shared" si="4"/>
        <v>0</v>
      </c>
    </row>
    <row r="282" spans="1:18" x14ac:dyDescent="0.3">
      <c r="A282" s="3" t="s">
        <v>754</v>
      </c>
      <c r="B282" s="4" t="s">
        <v>2932</v>
      </c>
      <c r="C282" s="19" t="s">
        <v>2931</v>
      </c>
      <c r="D282" s="19" t="s">
        <v>2930</v>
      </c>
      <c r="E282" s="3" t="s">
        <v>3167</v>
      </c>
      <c r="F282" s="3"/>
      <c r="G282" s="3"/>
      <c r="H282" s="3" t="s">
        <v>3138</v>
      </c>
      <c r="I282" s="3" t="s">
        <v>2037</v>
      </c>
      <c r="J282" s="3">
        <v>1</v>
      </c>
      <c r="K282" s="3">
        <v>0</v>
      </c>
      <c r="L282" s="4">
        <v>12.6</v>
      </c>
      <c r="M282" s="3" t="s">
        <v>2042</v>
      </c>
      <c r="N282" s="3" t="s">
        <v>28</v>
      </c>
      <c r="O282" s="3">
        <v>0</v>
      </c>
      <c r="P282" s="3">
        <v>0</v>
      </c>
      <c r="Q282" s="24">
        <v>9000</v>
      </c>
      <c r="R282" s="3">
        <f t="shared" si="4"/>
        <v>0</v>
      </c>
    </row>
    <row r="283" spans="1:18" x14ac:dyDescent="0.3">
      <c r="A283" s="3" t="s">
        <v>754</v>
      </c>
      <c r="B283" s="4" t="s">
        <v>2935</v>
      </c>
      <c r="C283" s="19" t="s">
        <v>2934</v>
      </c>
      <c r="D283" s="19" t="s">
        <v>2933</v>
      </c>
      <c r="E283" s="3" t="s">
        <v>3167</v>
      </c>
      <c r="F283" s="3"/>
      <c r="G283" s="3"/>
      <c r="H283" s="3" t="s">
        <v>3138</v>
      </c>
      <c r="I283" s="3" t="s">
        <v>2037</v>
      </c>
      <c r="J283" s="3">
        <v>1</v>
      </c>
      <c r="K283" s="3">
        <v>0</v>
      </c>
      <c r="L283" s="4">
        <v>13.8</v>
      </c>
      <c r="M283" s="3" t="s">
        <v>2042</v>
      </c>
      <c r="N283" s="3" t="s">
        <v>28</v>
      </c>
      <c r="O283" s="3">
        <v>0</v>
      </c>
      <c r="P283" s="3">
        <v>0</v>
      </c>
      <c r="Q283" s="24">
        <v>9000</v>
      </c>
      <c r="R283" s="3">
        <f t="shared" si="4"/>
        <v>0</v>
      </c>
    </row>
    <row r="284" spans="1:18" x14ac:dyDescent="0.3">
      <c r="A284" s="3" t="s">
        <v>759</v>
      </c>
      <c r="B284" s="4" t="s">
        <v>2938</v>
      </c>
      <c r="C284" s="19" t="s">
        <v>2937</v>
      </c>
      <c r="D284" s="19" t="s">
        <v>2936</v>
      </c>
      <c r="E284" s="3" t="s">
        <v>33</v>
      </c>
      <c r="F284" s="3"/>
      <c r="G284" s="3"/>
      <c r="H284" s="3" t="s">
        <v>3135</v>
      </c>
      <c r="I284" s="3" t="s">
        <v>2037</v>
      </c>
      <c r="J284" s="3">
        <v>1</v>
      </c>
      <c r="K284" s="3">
        <v>5</v>
      </c>
      <c r="L284" s="4">
        <v>73</v>
      </c>
      <c r="M284" s="3" t="s">
        <v>2939</v>
      </c>
      <c r="N284" s="3" t="s">
        <v>30</v>
      </c>
      <c r="O284" s="3">
        <v>0</v>
      </c>
      <c r="P284" s="3" t="s">
        <v>995</v>
      </c>
      <c r="Q284" s="26">
        <v>0</v>
      </c>
      <c r="R284" s="25">
        <f t="shared" ref="R284:R287" si="5">-Q284</f>
        <v>0</v>
      </c>
    </row>
    <row r="285" spans="1:18" x14ac:dyDescent="0.3">
      <c r="A285" s="3" t="s">
        <v>759</v>
      </c>
      <c r="B285" s="4" t="s">
        <v>2942</v>
      </c>
      <c r="C285" s="19" t="s">
        <v>2941</v>
      </c>
      <c r="D285" s="19" t="s">
        <v>2940</v>
      </c>
      <c r="E285" s="3" t="s">
        <v>33</v>
      </c>
      <c r="F285" s="3"/>
      <c r="G285" s="3"/>
      <c r="H285" s="3" t="s">
        <v>3135</v>
      </c>
      <c r="I285" s="3" t="s">
        <v>2037</v>
      </c>
      <c r="J285" s="3">
        <v>1</v>
      </c>
      <c r="K285" s="3">
        <v>5</v>
      </c>
      <c r="L285" s="4">
        <v>73</v>
      </c>
      <c r="M285" s="3" t="s">
        <v>2939</v>
      </c>
      <c r="N285" s="3" t="s">
        <v>30</v>
      </c>
      <c r="O285" s="3">
        <v>0</v>
      </c>
      <c r="P285" s="3" t="s">
        <v>995</v>
      </c>
      <c r="Q285" s="26">
        <v>0</v>
      </c>
      <c r="R285" s="25">
        <f t="shared" si="5"/>
        <v>0</v>
      </c>
    </row>
    <row r="286" spans="1:18" x14ac:dyDescent="0.3">
      <c r="A286" s="3" t="s">
        <v>759</v>
      </c>
      <c r="B286" s="4" t="s">
        <v>2945</v>
      </c>
      <c r="C286" s="19" t="s">
        <v>2944</v>
      </c>
      <c r="D286" s="19" t="s">
        <v>2943</v>
      </c>
      <c r="E286" s="3" t="s">
        <v>33</v>
      </c>
      <c r="F286" s="3"/>
      <c r="G286" s="3"/>
      <c r="H286" s="3" t="s">
        <v>3135</v>
      </c>
      <c r="I286" s="3" t="s">
        <v>2037</v>
      </c>
      <c r="J286" s="3">
        <v>1</v>
      </c>
      <c r="K286" s="3">
        <v>5</v>
      </c>
      <c r="L286" s="4">
        <v>73</v>
      </c>
      <c r="M286" s="3" t="s">
        <v>2939</v>
      </c>
      <c r="N286" s="3" t="s">
        <v>30</v>
      </c>
      <c r="O286" s="3">
        <v>0</v>
      </c>
      <c r="P286" s="3" t="s">
        <v>995</v>
      </c>
      <c r="Q286" s="26">
        <v>0</v>
      </c>
      <c r="R286" s="25">
        <f t="shared" si="5"/>
        <v>0</v>
      </c>
    </row>
    <row r="287" spans="1:18" x14ac:dyDescent="0.3">
      <c r="A287" s="3" t="s">
        <v>759</v>
      </c>
      <c r="B287" s="4" t="s">
        <v>2948</v>
      </c>
      <c r="C287" s="19" t="s">
        <v>2947</v>
      </c>
      <c r="D287" s="19" t="s">
        <v>2946</v>
      </c>
      <c r="E287" s="3" t="s">
        <v>33</v>
      </c>
      <c r="F287" s="3"/>
      <c r="G287" s="3"/>
      <c r="H287" s="3" t="s">
        <v>3135</v>
      </c>
      <c r="I287" s="3" t="s">
        <v>2037</v>
      </c>
      <c r="J287" s="3">
        <v>1</v>
      </c>
      <c r="K287" s="3">
        <v>5</v>
      </c>
      <c r="L287" s="4">
        <v>73</v>
      </c>
      <c r="M287" s="3" t="s">
        <v>2939</v>
      </c>
      <c r="N287" s="3" t="s">
        <v>30</v>
      </c>
      <c r="O287" s="3">
        <v>0</v>
      </c>
      <c r="P287" s="3" t="s">
        <v>995</v>
      </c>
      <c r="Q287" s="26">
        <v>0</v>
      </c>
      <c r="R287" s="25">
        <f t="shared" si="5"/>
        <v>0</v>
      </c>
    </row>
    <row r="288" spans="1:18" x14ac:dyDescent="0.3">
      <c r="A288" s="3" t="s">
        <v>787</v>
      </c>
      <c r="B288" s="4" t="s">
        <v>2951</v>
      </c>
      <c r="C288" s="19" t="s">
        <v>2950</v>
      </c>
      <c r="D288" s="19" t="s">
        <v>2949</v>
      </c>
      <c r="E288" s="3" t="s">
        <v>33</v>
      </c>
      <c r="F288" s="3"/>
      <c r="G288" s="3"/>
      <c r="H288" s="3" t="s">
        <v>3135</v>
      </c>
      <c r="I288" s="3" t="s">
        <v>2747</v>
      </c>
      <c r="J288" s="3">
        <v>1</v>
      </c>
      <c r="K288" s="3">
        <v>194</v>
      </c>
      <c r="L288" s="4">
        <v>404</v>
      </c>
      <c r="M288" s="3" t="s">
        <v>2142</v>
      </c>
      <c r="N288" s="3" t="s">
        <v>30</v>
      </c>
      <c r="O288" s="3">
        <v>79.099999999999994</v>
      </c>
      <c r="P288" s="3" t="s">
        <v>2952</v>
      </c>
      <c r="Q288" s="24" t="str">
        <f>_xlfn.XLOOKUP(C288,[1]DailyCommercialOfferData!$A$2:$A$164,[1]DailyCommercialOfferData!$C$2:$C$164,0)</f>
        <v>26.6</v>
      </c>
      <c r="R288" s="3">
        <f t="shared" si="4"/>
        <v>79.099999999999994</v>
      </c>
    </row>
    <row r="289" spans="1:18" x14ac:dyDescent="0.3">
      <c r="A289" s="3" t="s">
        <v>789</v>
      </c>
      <c r="B289" s="4" t="s">
        <v>2955</v>
      </c>
      <c r="C289" s="19" t="s">
        <v>2954</v>
      </c>
      <c r="D289" s="19" t="s">
        <v>2953</v>
      </c>
      <c r="E289" s="3" t="s">
        <v>3167</v>
      </c>
      <c r="F289" s="3"/>
      <c r="G289" s="3"/>
      <c r="H289" s="3" t="s">
        <v>3160</v>
      </c>
      <c r="I289" s="3" t="s">
        <v>2037</v>
      </c>
      <c r="J289" s="3">
        <v>1</v>
      </c>
      <c r="K289" s="3">
        <v>0</v>
      </c>
      <c r="L289" s="4">
        <v>105</v>
      </c>
      <c r="M289" s="3" t="s">
        <v>2042</v>
      </c>
      <c r="N289" s="3" t="s">
        <v>28</v>
      </c>
      <c r="O289" s="3">
        <v>0</v>
      </c>
      <c r="P289" s="3">
        <v>0</v>
      </c>
      <c r="Q289" s="24">
        <v>9000</v>
      </c>
      <c r="R289" s="3">
        <f t="shared" si="4"/>
        <v>0</v>
      </c>
    </row>
    <row r="290" spans="1:18" x14ac:dyDescent="0.3">
      <c r="A290" s="3" t="s">
        <v>789</v>
      </c>
      <c r="B290" s="4" t="s">
        <v>2958</v>
      </c>
      <c r="C290" s="19" t="s">
        <v>2957</v>
      </c>
      <c r="D290" s="19" t="s">
        <v>2956</v>
      </c>
      <c r="E290" s="3" t="s">
        <v>3167</v>
      </c>
      <c r="F290" s="3"/>
      <c r="G290" s="3"/>
      <c r="H290" s="3" t="s">
        <v>3160</v>
      </c>
      <c r="I290" s="3" t="s">
        <v>2037</v>
      </c>
      <c r="J290" s="3">
        <v>1</v>
      </c>
      <c r="K290" s="3">
        <v>0</v>
      </c>
      <c r="L290" s="4">
        <v>64</v>
      </c>
      <c r="M290" s="3" t="s">
        <v>2042</v>
      </c>
      <c r="N290" s="3" t="s">
        <v>28</v>
      </c>
      <c r="O290" s="3">
        <v>0</v>
      </c>
      <c r="P290" s="3">
        <v>0</v>
      </c>
      <c r="Q290" s="24">
        <v>9000</v>
      </c>
      <c r="R290" s="3">
        <f t="shared" si="4"/>
        <v>0</v>
      </c>
    </row>
    <row r="291" spans="1:18" x14ac:dyDescent="0.3">
      <c r="A291" s="3" t="s">
        <v>794</v>
      </c>
      <c r="B291" s="4" t="s">
        <v>2961</v>
      </c>
      <c r="C291" s="19" t="s">
        <v>2960</v>
      </c>
      <c r="D291" s="19" t="s">
        <v>2959</v>
      </c>
      <c r="E291" s="3" t="s">
        <v>3167</v>
      </c>
      <c r="F291" s="3"/>
      <c r="G291" s="3"/>
      <c r="H291" s="3" t="s">
        <v>3135</v>
      </c>
      <c r="I291" s="3" t="s">
        <v>2037</v>
      </c>
      <c r="J291" s="3">
        <v>1</v>
      </c>
      <c r="K291" s="3">
        <v>0</v>
      </c>
      <c r="L291" s="4">
        <v>6</v>
      </c>
      <c r="M291" s="3" t="s">
        <v>2042</v>
      </c>
      <c r="N291" s="3" t="s">
        <v>28</v>
      </c>
      <c r="O291" s="3">
        <v>0</v>
      </c>
      <c r="P291" s="3">
        <v>0</v>
      </c>
      <c r="Q291" s="24">
        <v>9000</v>
      </c>
      <c r="R291" s="3">
        <f t="shared" si="4"/>
        <v>0</v>
      </c>
    </row>
    <row r="292" spans="1:18" x14ac:dyDescent="0.3">
      <c r="A292" s="3" t="s">
        <v>794</v>
      </c>
      <c r="B292" s="4" t="s">
        <v>2964</v>
      </c>
      <c r="C292" s="19" t="s">
        <v>2963</v>
      </c>
      <c r="D292" s="19" t="s">
        <v>2962</v>
      </c>
      <c r="E292" s="3" t="s">
        <v>3167</v>
      </c>
      <c r="F292" s="3"/>
      <c r="G292" s="3"/>
      <c r="H292" s="3" t="s">
        <v>3135</v>
      </c>
      <c r="I292" s="3" t="s">
        <v>2037</v>
      </c>
      <c r="J292" s="3">
        <v>1</v>
      </c>
      <c r="K292" s="3">
        <v>0</v>
      </c>
      <c r="L292" s="4">
        <v>9</v>
      </c>
      <c r="M292" s="3" t="s">
        <v>2042</v>
      </c>
      <c r="N292" s="3" t="s">
        <v>28</v>
      </c>
      <c r="O292" s="3">
        <v>0</v>
      </c>
      <c r="P292" s="3">
        <v>0</v>
      </c>
      <c r="Q292" s="24">
        <v>9000</v>
      </c>
      <c r="R292" s="3">
        <f t="shared" si="4"/>
        <v>0</v>
      </c>
    </row>
    <row r="293" spans="1:18" x14ac:dyDescent="0.3">
      <c r="A293" s="3" t="s">
        <v>797</v>
      </c>
      <c r="B293" s="4" t="s">
        <v>2967</v>
      </c>
      <c r="C293" s="19" t="s">
        <v>2966</v>
      </c>
      <c r="D293" s="19" t="s">
        <v>2965</v>
      </c>
      <c r="E293" s="3" t="s">
        <v>3167</v>
      </c>
      <c r="F293" s="3"/>
      <c r="G293" s="3"/>
      <c r="H293" s="3" t="s">
        <v>3135</v>
      </c>
      <c r="I293" s="3" t="s">
        <v>2037</v>
      </c>
      <c r="J293" s="3">
        <v>1</v>
      </c>
      <c r="K293" s="3">
        <v>0</v>
      </c>
      <c r="L293" s="4">
        <v>11.9</v>
      </c>
      <c r="M293" s="3" t="s">
        <v>2042</v>
      </c>
      <c r="N293" s="3" t="s">
        <v>28</v>
      </c>
      <c r="O293" s="3">
        <v>0</v>
      </c>
      <c r="P293" s="3">
        <v>0</v>
      </c>
      <c r="Q293" s="24">
        <v>9000</v>
      </c>
      <c r="R293" s="3">
        <f t="shared" si="4"/>
        <v>0</v>
      </c>
    </row>
    <row r="294" spans="1:18" x14ac:dyDescent="0.3">
      <c r="A294" s="3" t="s">
        <v>797</v>
      </c>
      <c r="B294" s="4" t="s">
        <v>2970</v>
      </c>
      <c r="C294" s="19" t="s">
        <v>2969</v>
      </c>
      <c r="D294" s="19" t="s">
        <v>2968</v>
      </c>
      <c r="E294" s="3" t="s">
        <v>3167</v>
      </c>
      <c r="F294" s="3"/>
      <c r="G294" s="3"/>
      <c r="H294" s="3" t="s">
        <v>3135</v>
      </c>
      <c r="I294" s="3" t="s">
        <v>2037</v>
      </c>
      <c r="J294" s="3">
        <v>1</v>
      </c>
      <c r="K294" s="3">
        <v>0</v>
      </c>
      <c r="L294" s="4">
        <v>27</v>
      </c>
      <c r="M294" s="3" t="s">
        <v>2042</v>
      </c>
      <c r="N294" s="3" t="s">
        <v>28</v>
      </c>
      <c r="O294" s="3">
        <v>0</v>
      </c>
      <c r="P294" s="3">
        <v>0</v>
      </c>
      <c r="Q294" s="24">
        <v>9000</v>
      </c>
      <c r="R294" s="3">
        <f t="shared" si="4"/>
        <v>0</v>
      </c>
    </row>
    <row r="295" spans="1:18" x14ac:dyDescent="0.3">
      <c r="A295" s="3" t="s">
        <v>801</v>
      </c>
      <c r="B295" s="4" t="s">
        <v>2973</v>
      </c>
      <c r="C295" s="19" t="s">
        <v>2972</v>
      </c>
      <c r="D295" s="19" t="s">
        <v>2971</v>
      </c>
      <c r="E295" s="3" t="s">
        <v>3167</v>
      </c>
      <c r="F295" s="3"/>
      <c r="G295" s="3"/>
      <c r="H295" s="3" t="s">
        <v>3135</v>
      </c>
      <c r="I295" s="3" t="s">
        <v>2037</v>
      </c>
      <c r="J295" s="3">
        <v>1</v>
      </c>
      <c r="K295" s="3">
        <v>0</v>
      </c>
      <c r="L295" s="4">
        <v>20</v>
      </c>
      <c r="M295" s="3" t="s">
        <v>2042</v>
      </c>
      <c r="N295" s="3" t="s">
        <v>28</v>
      </c>
      <c r="O295" s="3">
        <v>0</v>
      </c>
      <c r="P295" s="3">
        <v>0</v>
      </c>
      <c r="Q295" s="24">
        <v>9000</v>
      </c>
      <c r="R295" s="3">
        <f t="shared" si="4"/>
        <v>0</v>
      </c>
    </row>
  </sheetData>
  <autoFilter ref="A1:R295" xr:uid="{00000000-0001-0000-0700-000000000000}"/>
  <phoneticPr fontId="4" type="noConversion"/>
  <conditionalFormatting sqref="F2:G295">
    <cfRule type="expression" dxfId="1" priority="2">
      <formula>($E2&lt;&gt;"LIFO")</formula>
    </cfRule>
  </conditionalFormatting>
  <conditionalFormatting sqref="H2:H295">
    <cfRule type="expression" dxfId="0" priority="1">
      <formula>($E2&lt;&gt;"Pro-Rata")</formula>
    </cfRule>
  </conditionalFormatting>
  <dataValidations disablePrompts="1" count="1">
    <dataValidation type="list" allowBlank="1" showInputMessage="1" showErrorMessage="1" sqref="C2:C9 E2:E5" xr:uid="{93378767-7322-405A-9798-43C52CE33CE3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13F2-C360-4460-B146-26A12BB7EB03}">
  <sheetPr>
    <tabColor theme="4" tint="-0.249977111117893"/>
  </sheetPr>
  <dimension ref="A1:KI2"/>
  <sheetViews>
    <sheetView workbookViewId="0">
      <selection activeCell="B2" sqref="B2"/>
    </sheetView>
  </sheetViews>
  <sheetFormatPr defaultRowHeight="14.4" x14ac:dyDescent="0.3"/>
  <cols>
    <col min="1" max="1" width="8.33203125" bestFit="1" customWidth="1"/>
    <col min="2" max="2" width="12.88671875" bestFit="1" customWidth="1"/>
    <col min="3" max="3" width="11.5546875" bestFit="1" customWidth="1"/>
    <col min="4" max="8" width="11.33203125" bestFit="1" customWidth="1"/>
    <col min="9" max="10" width="11.109375" bestFit="1" customWidth="1"/>
    <col min="11" max="14" width="10.77734375" bestFit="1" customWidth="1"/>
    <col min="15" max="16" width="12.77734375" bestFit="1" customWidth="1"/>
    <col min="17" max="17" width="12.6640625" bestFit="1" customWidth="1"/>
    <col min="18" max="21" width="10.6640625" bestFit="1" customWidth="1"/>
    <col min="22" max="24" width="11.6640625" bestFit="1" customWidth="1"/>
    <col min="25" max="26" width="11.5546875" bestFit="1" customWidth="1"/>
    <col min="27" max="28" width="12.109375" bestFit="1" customWidth="1"/>
    <col min="29" max="33" width="12.21875" bestFit="1" customWidth="1"/>
    <col min="34" max="35" width="12.44140625" bestFit="1" customWidth="1"/>
    <col min="36" max="36" width="11.5546875" bestFit="1" customWidth="1"/>
    <col min="37" max="38" width="13.21875" bestFit="1" customWidth="1"/>
    <col min="39" max="39" width="12.77734375" bestFit="1" customWidth="1"/>
    <col min="40" max="40" width="11.88671875" bestFit="1" customWidth="1"/>
    <col min="41" max="41" width="10.5546875" bestFit="1" customWidth="1"/>
    <col min="42" max="44" width="11.44140625" bestFit="1" customWidth="1"/>
    <col min="45" max="45" width="11.77734375" bestFit="1" customWidth="1"/>
    <col min="46" max="49" width="12" bestFit="1" customWidth="1"/>
    <col min="50" max="50" width="12.109375" bestFit="1" customWidth="1"/>
    <col min="51" max="56" width="11.77734375" bestFit="1" customWidth="1"/>
    <col min="57" max="57" width="12.77734375" bestFit="1" customWidth="1"/>
    <col min="58" max="58" width="11.88671875" bestFit="1" customWidth="1"/>
    <col min="59" max="59" width="12.21875" bestFit="1" customWidth="1"/>
    <col min="60" max="60" width="12.5546875" bestFit="1" customWidth="1"/>
    <col min="61" max="61" width="10.77734375" bestFit="1" customWidth="1"/>
    <col min="62" max="62" width="12.109375" bestFit="1" customWidth="1"/>
    <col min="63" max="63" width="11.77734375" bestFit="1" customWidth="1"/>
    <col min="64" max="66" width="10.44140625" bestFit="1" customWidth="1"/>
    <col min="67" max="73" width="11.88671875" bestFit="1" customWidth="1"/>
    <col min="74" max="75" width="11.6640625" bestFit="1" customWidth="1"/>
    <col min="76" max="77" width="10.44140625" bestFit="1" customWidth="1"/>
    <col min="78" max="81" width="11.5546875" bestFit="1" customWidth="1"/>
    <col min="82" max="82" width="11.77734375" bestFit="1" customWidth="1"/>
    <col min="83" max="90" width="12.21875" bestFit="1" customWidth="1"/>
    <col min="91" max="93" width="11.6640625" bestFit="1" customWidth="1"/>
    <col min="94" max="95" width="11.77734375" bestFit="1" customWidth="1"/>
    <col min="96" max="100" width="11.6640625" bestFit="1" customWidth="1"/>
    <col min="101" max="102" width="11.77734375" bestFit="1" customWidth="1"/>
    <col min="103" max="103" width="12.109375" bestFit="1" customWidth="1"/>
    <col min="104" max="105" width="12.21875" bestFit="1" customWidth="1"/>
    <col min="106" max="108" width="11.77734375" bestFit="1" customWidth="1"/>
    <col min="109" max="109" width="11.5546875" bestFit="1" customWidth="1"/>
    <col min="110" max="110" width="11.6640625" bestFit="1" customWidth="1"/>
    <col min="111" max="111" width="12" bestFit="1" customWidth="1"/>
    <col min="112" max="114" width="11.6640625" bestFit="1" customWidth="1"/>
    <col min="115" max="116" width="11.77734375" bestFit="1" customWidth="1"/>
    <col min="117" max="117" width="12.109375" bestFit="1" customWidth="1"/>
    <col min="118" max="119" width="12.88671875" bestFit="1" customWidth="1"/>
    <col min="120" max="120" width="11.77734375" bestFit="1" customWidth="1"/>
    <col min="121" max="121" width="11.88671875" bestFit="1" customWidth="1"/>
    <col min="122" max="122" width="11.77734375" bestFit="1" customWidth="1"/>
    <col min="123" max="123" width="13.21875" bestFit="1" customWidth="1"/>
    <col min="124" max="127" width="12.33203125" bestFit="1" customWidth="1"/>
    <col min="128" max="129" width="12.88671875" bestFit="1" customWidth="1"/>
    <col min="130" max="130" width="11.21875" bestFit="1" customWidth="1"/>
    <col min="131" max="132" width="12.109375" bestFit="1" customWidth="1"/>
    <col min="133" max="133" width="12" bestFit="1" customWidth="1"/>
    <col min="134" max="134" width="12.109375" bestFit="1" customWidth="1"/>
    <col min="135" max="136" width="12.21875" bestFit="1" customWidth="1"/>
    <col min="137" max="139" width="11.88671875" bestFit="1" customWidth="1"/>
    <col min="140" max="140" width="12.21875" bestFit="1" customWidth="1"/>
    <col min="141" max="141" width="11.77734375" bestFit="1" customWidth="1"/>
    <col min="142" max="143" width="11.5546875" bestFit="1" customWidth="1"/>
    <col min="144" max="146" width="11.6640625" bestFit="1" customWidth="1"/>
    <col min="147" max="147" width="12" bestFit="1" customWidth="1"/>
    <col min="148" max="153" width="12.44140625" bestFit="1" customWidth="1"/>
    <col min="154" max="154" width="10.21875" bestFit="1" customWidth="1"/>
    <col min="155" max="156" width="11" bestFit="1" customWidth="1"/>
    <col min="157" max="157" width="11.109375" bestFit="1" customWidth="1"/>
    <col min="158" max="163" width="11.44140625" bestFit="1" customWidth="1"/>
    <col min="164" max="165" width="10.109375" bestFit="1" customWidth="1"/>
    <col min="166" max="167" width="11.109375" bestFit="1" customWidth="1"/>
    <col min="168" max="169" width="11.77734375" bestFit="1" customWidth="1"/>
    <col min="170" max="170" width="11.5546875" bestFit="1" customWidth="1"/>
    <col min="171" max="172" width="12.88671875" bestFit="1" customWidth="1"/>
    <col min="173" max="175" width="11.6640625" bestFit="1" customWidth="1"/>
    <col min="176" max="181" width="12.109375" bestFit="1" customWidth="1"/>
    <col min="182" max="182" width="11.6640625" bestFit="1" customWidth="1"/>
    <col min="183" max="183" width="11.5546875" bestFit="1" customWidth="1"/>
    <col min="184" max="186" width="11.77734375" bestFit="1" customWidth="1"/>
    <col min="187" max="187" width="12.33203125" bestFit="1" customWidth="1"/>
    <col min="188" max="188" width="11.77734375" bestFit="1" customWidth="1"/>
    <col min="189" max="192" width="11.33203125" bestFit="1" customWidth="1"/>
    <col min="193" max="194" width="12.33203125" bestFit="1" customWidth="1"/>
    <col min="195" max="202" width="11.5546875" bestFit="1" customWidth="1"/>
    <col min="203" max="203" width="11.33203125" bestFit="1" customWidth="1"/>
    <col min="204" max="207" width="12.33203125" bestFit="1" customWidth="1"/>
    <col min="208" max="208" width="12.6640625" bestFit="1" customWidth="1"/>
    <col min="209" max="209" width="12.88671875" bestFit="1" customWidth="1"/>
    <col min="210" max="210" width="11.5546875" bestFit="1" customWidth="1"/>
    <col min="211" max="212" width="12.33203125" bestFit="1" customWidth="1"/>
    <col min="213" max="217" width="12.77734375" bestFit="1" customWidth="1"/>
    <col min="218" max="220" width="12.33203125" bestFit="1" customWidth="1"/>
    <col min="221" max="221" width="12.109375" bestFit="1" customWidth="1"/>
    <col min="222" max="225" width="11.109375" bestFit="1" customWidth="1"/>
    <col min="226" max="226" width="12.109375" bestFit="1" customWidth="1"/>
    <col min="227" max="228" width="12.21875" bestFit="1" customWidth="1"/>
    <col min="229" max="229" width="12.5546875" bestFit="1" customWidth="1"/>
    <col min="230" max="230" width="11.5546875" bestFit="1" customWidth="1"/>
    <col min="231" max="231" width="10.5546875" bestFit="1" customWidth="1"/>
    <col min="232" max="236" width="13.44140625" bestFit="1" customWidth="1"/>
    <col min="237" max="243" width="10.5546875" bestFit="1" customWidth="1"/>
    <col min="244" max="246" width="12.21875" bestFit="1" customWidth="1"/>
    <col min="247" max="248" width="11.6640625" bestFit="1" customWidth="1"/>
    <col min="249" max="249" width="11.88671875" bestFit="1" customWidth="1"/>
    <col min="250" max="251" width="12" bestFit="1" customWidth="1"/>
    <col min="252" max="253" width="12.21875" bestFit="1" customWidth="1"/>
    <col min="254" max="254" width="11.88671875" bestFit="1" customWidth="1"/>
    <col min="255" max="255" width="11.33203125" bestFit="1" customWidth="1"/>
    <col min="256" max="256" width="11.21875" bestFit="1" customWidth="1"/>
    <col min="257" max="257" width="10.5546875" bestFit="1" customWidth="1"/>
    <col min="258" max="259" width="11.44140625" bestFit="1" customWidth="1"/>
    <col min="260" max="260" width="12.88671875" bestFit="1" customWidth="1"/>
    <col min="261" max="261" width="11.77734375" bestFit="1" customWidth="1"/>
    <col min="262" max="262" width="12.6640625" bestFit="1" customWidth="1"/>
    <col min="263" max="265" width="12.33203125" bestFit="1" customWidth="1"/>
    <col min="266" max="267" width="12" bestFit="1" customWidth="1"/>
    <col min="268" max="268" width="11.109375" bestFit="1" customWidth="1"/>
    <col min="269" max="269" width="11.77734375" bestFit="1" customWidth="1"/>
    <col min="270" max="271" width="11.44140625" bestFit="1" customWidth="1"/>
    <col min="272" max="276" width="12.33203125" bestFit="1" customWidth="1"/>
    <col min="277" max="277" width="11.109375" bestFit="1" customWidth="1"/>
    <col min="278" max="278" width="11.77734375" bestFit="1" customWidth="1"/>
    <col min="279" max="280" width="11.6640625" bestFit="1" customWidth="1"/>
    <col min="281" max="284" width="10.6640625" bestFit="1" customWidth="1"/>
    <col min="285" max="285" width="11.77734375" bestFit="1" customWidth="1"/>
    <col min="286" max="287" width="11.88671875" bestFit="1" customWidth="1"/>
    <col min="288" max="289" width="12.33203125" bestFit="1" customWidth="1"/>
    <col min="290" max="291" width="12.21875" bestFit="1" customWidth="1"/>
    <col min="292" max="292" width="12.77734375" bestFit="1" customWidth="1"/>
  </cols>
  <sheetData>
    <row r="1" spans="1:295" x14ac:dyDescent="0.3">
      <c r="A1" s="2" t="s">
        <v>31</v>
      </c>
      <c r="B1" s="19" t="str" cm="1">
        <f t="array" ref="B1:KB1">TRANSPOSE(_xlfn._xlws.FILTER(generator!$B$2:$B$295,generator!$J$2:$J$295&lt;&gt;0))</f>
        <v>EWIC</v>
      </c>
      <c r="C1" s="19" t="str">
        <v>DV1</v>
      </c>
      <c r="D1" s="19" t="str">
        <v>SB1</v>
      </c>
      <c r="E1" s="19" t="str">
        <v>KD1</v>
      </c>
      <c r="F1" s="19" t="str">
        <v>RD1</v>
      </c>
      <c r="G1" s="19" t="str">
        <v>OY1</v>
      </c>
      <c r="H1" s="19" t="str">
        <v>OY2</v>
      </c>
      <c r="I1" s="19" t="str">
        <v>KW1</v>
      </c>
      <c r="J1" s="19" t="str">
        <v>TN2</v>
      </c>
      <c r="K1" s="19" t="str">
        <v>AT1</v>
      </c>
      <c r="L1" s="19" t="str">
        <v>AT2</v>
      </c>
      <c r="M1" s="19" t="str">
        <v>AT4</v>
      </c>
      <c r="N1" s="19" t="str">
        <v>AD2</v>
      </c>
      <c r="O1" s="19" t="str">
        <v>MYM</v>
      </c>
      <c r="P1" s="19" t="str">
        <v>SL2</v>
      </c>
      <c r="Q1" s="19" t="str">
        <v>CBY</v>
      </c>
      <c r="R1" s="19" t="str">
        <v>AA1</v>
      </c>
      <c r="S1" s="19" t="str">
        <v>AA2</v>
      </c>
      <c r="T1" s="19" t="str">
        <v>AA3</v>
      </c>
      <c r="U1" s="19" t="str">
        <v>AA4</v>
      </c>
      <c r="V1" s="19" t="str">
        <v>ABK</v>
      </c>
      <c r="W1" s="19" t="str">
        <v>RL1</v>
      </c>
      <c r="X1" s="19" t="str">
        <v>YR1</v>
      </c>
      <c r="Y1" s="19" t="str">
        <v>AH1</v>
      </c>
      <c r="Z1" s="19" t="str">
        <v>XT1</v>
      </c>
      <c r="AA1" s="19" t="str">
        <v>SK3</v>
      </c>
      <c r="AB1" s="19" t="str">
        <v>SK4</v>
      </c>
      <c r="AC1" s="19" t="str">
        <v>BGT1</v>
      </c>
      <c r="AD1" s="19" t="str">
        <v>BGT2</v>
      </c>
      <c r="AE1" s="19" t="str">
        <v>B10</v>
      </c>
      <c r="AF1" s="19" t="str">
        <v>B31</v>
      </c>
      <c r="AG1" s="19" t="str">
        <v>B32</v>
      </c>
      <c r="AH1" s="19" t="str">
        <v>M</v>
      </c>
      <c r="AI1" s="19" t="str">
        <v>BW1</v>
      </c>
      <c r="AJ1" s="19" t="str">
        <v>HS1</v>
      </c>
      <c r="AK1" s="19" t="str">
        <v>RHY</v>
      </c>
      <c r="AL1" s="19" t="str">
        <v>EGH</v>
      </c>
      <c r="AM1" s="19" t="str">
        <v>BF1</v>
      </c>
      <c r="AN1" s="19" t="str">
        <v>SS1</v>
      </c>
      <c r="AO1" s="19" t="str">
        <v>CU1</v>
      </c>
      <c r="AP1" s="19" t="str">
        <v>MC1</v>
      </c>
      <c r="AQ1" s="19" t="str">
        <v>YV2</v>
      </c>
      <c r="AR1" s="19" t="str">
        <v>NA1</v>
      </c>
      <c r="AS1" s="19" t="str">
        <v>BG1</v>
      </c>
      <c r="AT1" s="19" t="str">
        <v>BG2</v>
      </c>
      <c r="AU1" s="19" t="str">
        <v>ES1</v>
      </c>
      <c r="AV1" s="19" t="str">
        <v>CD1</v>
      </c>
      <c r="AW1" s="19" t="str">
        <v>QA1</v>
      </c>
      <c r="AX1" s="19" t="str">
        <v>BT1</v>
      </c>
      <c r="AY1" s="19" t="str">
        <v>BT2</v>
      </c>
      <c r="AZ1" s="19" t="str">
        <v>LY1</v>
      </c>
      <c r="BA1" s="19" t="str">
        <v>SF1</v>
      </c>
      <c r="BB1" s="19" t="str">
        <v>SF2</v>
      </c>
      <c r="BC1" s="19" t="str">
        <v>BJ1</v>
      </c>
      <c r="BD1" s="19" t="str">
        <v>BKY</v>
      </c>
      <c r="BE1" s="19" t="str">
        <v>YM1</v>
      </c>
      <c r="BF1" s="19" t="str">
        <v>GE1</v>
      </c>
      <c r="BG1" s="19" t="str">
        <v>CNH</v>
      </c>
      <c r="BH1" s="19" t="str">
        <v>LE3</v>
      </c>
      <c r="BI1" s="19" t="str">
        <v>XA1</v>
      </c>
      <c r="BJ1" s="19" t="str">
        <v>MX1</v>
      </c>
      <c r="BK1" s="19" t="str">
        <v>AS1</v>
      </c>
      <c r="BL1" s="19" t="str">
        <v>ER3</v>
      </c>
      <c r="BM1" s="19" t="str">
        <v>ER4</v>
      </c>
      <c r="BN1" s="19" t="str">
        <v>CP1</v>
      </c>
      <c r="BO1" s="19" t="str">
        <v>CP3</v>
      </c>
      <c r="BP1" s="19" t="str">
        <v>GM1</v>
      </c>
      <c r="BQ1" s="19" t="str">
        <v>GU1</v>
      </c>
      <c r="BR1" s="19" t="str">
        <v>GY1</v>
      </c>
      <c r="BS1" s="19" t="str">
        <v>KQ1</v>
      </c>
      <c r="BT1" s="19" t="str">
        <v>PO1</v>
      </c>
      <c r="BU1" s="19" t="str">
        <v>CJ1</v>
      </c>
      <c r="BV1" s="19" t="str">
        <v>CJ2</v>
      </c>
      <c r="BW1" s="19" t="str">
        <v>ER1</v>
      </c>
      <c r="BX1" s="19" t="str">
        <v>ER2</v>
      </c>
      <c r="BY1" s="19" t="str">
        <v>CL1</v>
      </c>
      <c r="BZ1" s="19" t="str">
        <v>DA1</v>
      </c>
      <c r="CA1" s="19" t="str">
        <v>DA2</v>
      </c>
      <c r="CB1" s="19" t="str">
        <v>KI1</v>
      </c>
      <c r="CC1" s="19" t="str">
        <v>OA1</v>
      </c>
      <c r="CD1" s="19" t="str">
        <v>GAR</v>
      </c>
      <c r="CE1" s="19" t="str">
        <v>GRU</v>
      </c>
      <c r="CF1" s="19" t="str">
        <v>DMR</v>
      </c>
      <c r="CG1" s="19" t="str">
        <v>DBG</v>
      </c>
      <c r="CH1" s="19" t="str">
        <v>LPS</v>
      </c>
      <c r="CI1" s="19" t="str">
        <v>MBY</v>
      </c>
      <c r="CJ1" s="19" t="str">
        <v>CGT8</v>
      </c>
      <c r="CK1" s="19" t="str">
        <v>C30</v>
      </c>
      <c r="CL1" s="19" t="str">
        <v>CG1</v>
      </c>
      <c r="CM1" s="19" t="str">
        <v>CG2</v>
      </c>
      <c r="CN1" s="19" t="str">
        <v>CG3</v>
      </c>
      <c r="CO1" s="19" t="str">
        <v>YT1</v>
      </c>
      <c r="CP1" s="19" t="str">
        <v>GD1</v>
      </c>
      <c r="CQ1" s="19" t="str">
        <v>DL1</v>
      </c>
      <c r="CR1" s="19" t="str">
        <v>DL2</v>
      </c>
      <c r="CS1" s="19" t="str">
        <v>OG1</v>
      </c>
      <c r="CT1" s="19" t="str">
        <v>ST1</v>
      </c>
      <c r="CU1" s="19" t="str">
        <v>ST2</v>
      </c>
      <c r="CV1" s="19" t="str">
        <v>TM2</v>
      </c>
      <c r="CW1" s="19" t="str">
        <v>TM3</v>
      </c>
      <c r="CX1" s="19" t="str">
        <v>FG2</v>
      </c>
      <c r="CY1" s="19" t="str">
        <v>KG2</v>
      </c>
      <c r="CZ1" s="19" t="str">
        <v>KGM</v>
      </c>
      <c r="DA1" s="19" t="str">
        <v>ED1</v>
      </c>
      <c r="DB1" s="19" t="str">
        <v>ED3</v>
      </c>
      <c r="DC1" s="19" t="str">
        <v>ED5</v>
      </c>
      <c r="DD1" s="19" t="str">
        <v>MM1</v>
      </c>
      <c r="DE1" s="19" t="str">
        <v>QB1</v>
      </c>
      <c r="DF1" s="19" t="str">
        <v>DY1</v>
      </c>
      <c r="DG1" s="19" t="str">
        <v>NC1</v>
      </c>
      <c r="DH1" s="19" t="str">
        <v>RP1</v>
      </c>
      <c r="DI1" s="19" t="str">
        <v>RP2</v>
      </c>
      <c r="DJ1" s="19" t="str">
        <v>DR1</v>
      </c>
      <c r="DK1" s="19" t="str">
        <v>CNV</v>
      </c>
      <c r="DL1" s="19" t="str">
        <v>CCG</v>
      </c>
      <c r="DM1" s="19" t="str">
        <v>IW1</v>
      </c>
      <c r="DN1" s="19" t="str">
        <v>GR1</v>
      </c>
      <c r="DO1" s="19" t="str">
        <v>HT1</v>
      </c>
      <c r="DP1" s="19" t="str">
        <v>CRO</v>
      </c>
      <c r="DQ1" s="19" t="str">
        <v>BA1</v>
      </c>
      <c r="DR1" s="19" t="str">
        <v>BA2</v>
      </c>
      <c r="DS1" s="19" t="str">
        <v>BA3</v>
      </c>
      <c r="DT1" s="19" t="str">
        <v>KV1</v>
      </c>
      <c r="DU1" s="19" t="str">
        <v>CAL</v>
      </c>
      <c r="DV1" s="19" t="str">
        <v>ORA</v>
      </c>
      <c r="DW1" s="19" t="str">
        <v>DG1</v>
      </c>
      <c r="DX1" s="19" t="str">
        <v>IA1</v>
      </c>
      <c r="DY1" s="19" t="str">
        <v>IA2</v>
      </c>
      <c r="DZ1" s="19" t="str">
        <v>NB1</v>
      </c>
      <c r="EA1" s="19" t="str">
        <v>CZ1</v>
      </c>
      <c r="EB1" s="19" t="str">
        <v>CGR</v>
      </c>
      <c r="EC1" s="19" t="str">
        <v>EVG</v>
      </c>
      <c r="ED1" s="19" t="str">
        <v>DS1</v>
      </c>
      <c r="EE1" s="19" t="str">
        <v>GH1</v>
      </c>
      <c r="EF1" s="19" t="str">
        <v>GH2</v>
      </c>
      <c r="EG1" s="19" t="str">
        <v>WG1</v>
      </c>
      <c r="EH1" s="19" t="str">
        <v>GLC</v>
      </c>
      <c r="EI1" s="19" t="str">
        <v>MR1</v>
      </c>
      <c r="EJ1" s="19" t="str">
        <v>TR1</v>
      </c>
      <c r="EK1" s="19" t="str">
        <v>GJ1</v>
      </c>
      <c r="EL1" s="19" t="str">
        <v>XL1</v>
      </c>
      <c r="EM1" s="19" t="str">
        <v>XR1</v>
      </c>
      <c r="EN1" s="19" t="str">
        <v>GO1</v>
      </c>
      <c r="EO1" s="19" t="str">
        <v>SD1</v>
      </c>
      <c r="EP1" s="19" t="str">
        <v>SD2</v>
      </c>
      <c r="EQ1" s="19" t="str">
        <v>AKN</v>
      </c>
      <c r="ER1" s="19" t="str">
        <v>STS</v>
      </c>
      <c r="ES1" s="19" t="str">
        <v>TGS</v>
      </c>
      <c r="ET1" s="19" t="str">
        <v>MUR</v>
      </c>
      <c r="EU1" s="19" t="str">
        <v>GI4</v>
      </c>
      <c r="EV1" s="19" t="str">
        <v>HN2</v>
      </c>
      <c r="EW1" s="19" t="str">
        <v>HNC</v>
      </c>
      <c r="EX1" s="19" t="str">
        <v>MH1</v>
      </c>
      <c r="EY1" s="19" t="str">
        <v>IL1</v>
      </c>
      <c r="EZ1" s="19" t="str">
        <v>IL2</v>
      </c>
      <c r="FA1" s="19" t="str">
        <v>IL3</v>
      </c>
      <c r="FB1" s="19" t="str">
        <v>IL4</v>
      </c>
      <c r="FC1" s="19" t="str">
        <v>IL5</v>
      </c>
      <c r="FD1" s="19" t="str">
        <v>IL6</v>
      </c>
      <c r="FE1" s="19" t="str">
        <v>LE1</v>
      </c>
      <c r="FF1" s="19" t="str">
        <v>LE2</v>
      </c>
      <c r="FG1" s="19" t="str">
        <v>DB1</v>
      </c>
      <c r="FH1" s="19" t="str">
        <v>IS3</v>
      </c>
      <c r="FI1" s="19" t="str">
        <v>OE1</v>
      </c>
      <c r="FJ1" s="19" t="str">
        <v>KH1</v>
      </c>
      <c r="FK1" s="19" t="str">
        <v>EGL</v>
      </c>
      <c r="FL1" s="19" t="str">
        <v>CKT</v>
      </c>
      <c r="FM1" s="19" t="str">
        <v>KZ1</v>
      </c>
      <c r="FN1" s="19" t="str">
        <v>KZ3</v>
      </c>
      <c r="FO1" s="19" t="str">
        <v>LM1</v>
      </c>
      <c r="FP1" s="19" t="str">
        <v>KGT1</v>
      </c>
      <c r="FQ1" s="19" t="str">
        <v>KGT2</v>
      </c>
      <c r="FR1" s="19" t="str">
        <v>KGT3</v>
      </c>
      <c r="FS1" s="19" t="str">
        <v>KGT4</v>
      </c>
      <c r="FT1" s="19" t="str">
        <v>KGT6</v>
      </c>
      <c r="FU1" s="19" t="str">
        <v>KGT7</v>
      </c>
      <c r="FV1" s="19" t="str">
        <v>KC1</v>
      </c>
      <c r="FW1" s="19" t="str">
        <v>KU1</v>
      </c>
      <c r="FX1" s="19" t="str">
        <v>YW1</v>
      </c>
      <c r="FY1" s="19" t="str">
        <v>INW1_1</v>
      </c>
      <c r="FZ1" s="19" t="str">
        <v>UF1</v>
      </c>
      <c r="GA1" s="19" t="str">
        <v>BKL</v>
      </c>
      <c r="GB1" s="19" t="str">
        <v>LL1</v>
      </c>
      <c r="GC1" s="19" t="str">
        <v>CAR</v>
      </c>
      <c r="GD1" s="19" t="str">
        <v>CUH</v>
      </c>
      <c r="GE1" s="19" t="str">
        <v>BM1</v>
      </c>
      <c r="GF1" s="19" t="str">
        <v>SN1</v>
      </c>
      <c r="GG1" s="19" t="str">
        <v>ALT</v>
      </c>
      <c r="GH1" s="19" t="str">
        <v>AL2</v>
      </c>
      <c r="GI1" s="19" t="str">
        <v>NICG2</v>
      </c>
      <c r="GJ1" s="19" t="str">
        <v>LRP</v>
      </c>
      <c r="GK1" s="19" t="str">
        <v>BDP</v>
      </c>
      <c r="GL1" s="19" t="str">
        <v>MRP</v>
      </c>
      <c r="GM1" s="19" t="str">
        <v>BU1</v>
      </c>
      <c r="GN1" s="19" t="str">
        <v>LS1</v>
      </c>
      <c r="GO1" s="19" t="str">
        <v>LS2</v>
      </c>
      <c r="GP1" s="19" t="str">
        <v>LS3</v>
      </c>
      <c r="GQ1" s="19" t="str">
        <v>LA1</v>
      </c>
      <c r="GR1" s="19" t="str">
        <v>BY1</v>
      </c>
      <c r="GS1" s="19" t="str">
        <v>BY2</v>
      </c>
      <c r="GT1" s="19" t="str">
        <v>CK1</v>
      </c>
      <c r="GU1" s="19" t="str">
        <v>GT1</v>
      </c>
      <c r="GV1" s="19" t="str">
        <v>CNY</v>
      </c>
      <c r="GW1" s="19" t="str">
        <v>CUR</v>
      </c>
      <c r="GX1" s="19" t="str">
        <v>LO1</v>
      </c>
      <c r="GY1" s="19" t="str">
        <v>BN1</v>
      </c>
      <c r="GZ1" s="19" t="str">
        <v>JG1</v>
      </c>
      <c r="HA1" s="19" t="str">
        <v>CRI</v>
      </c>
      <c r="HB1" s="19" t="str">
        <v>CHU</v>
      </c>
      <c r="HC1" s="19" t="str">
        <v>TNG</v>
      </c>
      <c r="HD1" s="19" t="str">
        <v>SRN</v>
      </c>
      <c r="HE1" s="19" t="str">
        <v>TMA</v>
      </c>
      <c r="HF1" s="19" t="str">
        <v>GA2</v>
      </c>
      <c r="HG1" s="19" t="str">
        <v>RR2</v>
      </c>
      <c r="HH1" s="19" t="str">
        <v>VB1</v>
      </c>
      <c r="HI1" s="19" t="str">
        <v>MCT</v>
      </c>
      <c r="HJ1" s="19" t="str">
        <v>MP1</v>
      </c>
      <c r="HK1" s="19" t="str">
        <v>MP2</v>
      </c>
      <c r="HL1" s="19" t="str">
        <v>MP9</v>
      </c>
      <c r="HM1" s="19" t="str">
        <v>MP3</v>
      </c>
      <c r="HN1" s="19" t="str">
        <v>MO1</v>
      </c>
      <c r="HO1" s="19" t="str">
        <v>MB1</v>
      </c>
      <c r="HP1" s="19" t="str">
        <v>MB2</v>
      </c>
      <c r="HQ1" s="19" t="str">
        <v>DZ1</v>
      </c>
      <c r="HR1" s="19" t="str">
        <v>NW8</v>
      </c>
      <c r="HS1" s="19" t="str">
        <v>TB5</v>
      </c>
      <c r="HT1" s="19" t="str">
        <v>LEN</v>
      </c>
      <c r="HU1" s="19" t="str">
        <v>LEN1</v>
      </c>
      <c r="HV1" s="19" t="str">
        <v>HUN</v>
      </c>
      <c r="HW1" s="19" t="str">
        <v>TAP</v>
      </c>
      <c r="HX1" s="19" t="str">
        <v>SCR</v>
      </c>
      <c r="HY1" s="19" t="str">
        <v>LI1</v>
      </c>
      <c r="HZ1" s="19" t="str">
        <v>LI2</v>
      </c>
      <c r="IA1" s="19" t="str">
        <v>LI3</v>
      </c>
      <c r="IB1" s="19" t="str">
        <v>LI4</v>
      </c>
      <c r="IC1" s="19" t="str">
        <v>LI5</v>
      </c>
      <c r="ID1" s="19" t="str">
        <v>PB7</v>
      </c>
      <c r="IE1" s="19" t="str">
        <v>DW1</v>
      </c>
      <c r="IF1" s="19" t="str">
        <v>LMT</v>
      </c>
      <c r="IG1" s="19" t="str">
        <v>AVN</v>
      </c>
      <c r="IH1" s="19" t="str">
        <v>BNP</v>
      </c>
      <c r="II1" s="19" t="str">
        <v>GW1</v>
      </c>
      <c r="IJ1" s="19" t="str">
        <v>RC1</v>
      </c>
      <c r="IK1" s="19" t="str">
        <v>RT1</v>
      </c>
      <c r="IL1" s="19" t="str">
        <v>BD1</v>
      </c>
      <c r="IM1" s="19" t="str">
        <v>ML1</v>
      </c>
      <c r="IN1" s="19" t="str">
        <v>KM1</v>
      </c>
      <c r="IO1" s="19" t="str">
        <v>MU1</v>
      </c>
      <c r="IP1" s="19" t="str">
        <v>RO1</v>
      </c>
      <c r="IQ1" s="19" t="str">
        <v>LG1</v>
      </c>
      <c r="IR1" s="19" t="str">
        <v>AL1</v>
      </c>
      <c r="IS1" s="19" t="str">
        <v>SQ1</v>
      </c>
      <c r="IT1" s="19" t="str">
        <v>PBA</v>
      </c>
      <c r="IU1" s="19" t="str">
        <v>PBB</v>
      </c>
      <c r="IV1" s="19" t="str">
        <v>SK1</v>
      </c>
      <c r="IW1" s="19" t="str">
        <v>DN1</v>
      </c>
      <c r="IX1" s="19" t="str">
        <v>CMN</v>
      </c>
      <c r="IY1" s="19" t="str">
        <v>KF1</v>
      </c>
      <c r="IZ1" s="19" t="str">
        <v>TP1</v>
      </c>
      <c r="JA1" s="19" t="str">
        <v>TP3</v>
      </c>
      <c r="JB1" s="19" t="str">
        <v>AC1</v>
      </c>
      <c r="JC1" s="19" t="str">
        <v>BS1</v>
      </c>
      <c r="JD1" s="19" t="str">
        <v>YC2</v>
      </c>
      <c r="JE1" s="19" t="str">
        <v>TE1</v>
      </c>
      <c r="JF1" s="19" t="str">
        <v>BCW</v>
      </c>
      <c r="JG1" s="19" t="str">
        <v>TUR</v>
      </c>
      <c r="JH1" s="19" t="str">
        <v>GFB</v>
      </c>
      <c r="JI1" s="19" t="str">
        <v>CNR</v>
      </c>
      <c r="JJ1" s="19" t="str">
        <v>INT</v>
      </c>
      <c r="JK1" s="19" t="str">
        <v>CDN</v>
      </c>
      <c r="JL1" s="19" t="str">
        <v>CKD</v>
      </c>
      <c r="JM1" s="19" t="str">
        <v>KW2</v>
      </c>
      <c r="JN1" s="19" t="str">
        <v>TL1</v>
      </c>
      <c r="JO1" s="19" t="str">
        <v>MMR</v>
      </c>
      <c r="JP1" s="19" t="str">
        <v>TK1</v>
      </c>
      <c r="JQ1" s="19" t="str">
        <v>TH1</v>
      </c>
      <c r="JR1" s="19" t="str">
        <v>TH2</v>
      </c>
      <c r="JS1" s="19" t="str">
        <v>TH3</v>
      </c>
      <c r="JT1" s="19" t="str">
        <v>TH4</v>
      </c>
      <c r="JU1" s="19" t="str">
        <v>TYC</v>
      </c>
      <c r="JV1" s="19" t="str">
        <v>SO1</v>
      </c>
      <c r="JW1" s="19" t="str">
        <v>UG1</v>
      </c>
      <c r="JX1" s="19" t="str">
        <v>BX1</v>
      </c>
      <c r="JY1" s="19" t="str">
        <v>BX2</v>
      </c>
      <c r="JZ1" s="19" t="str">
        <v>CNS</v>
      </c>
      <c r="KA1" s="19" t="str">
        <v>RF1</v>
      </c>
      <c r="KB1" s="19" t="str">
        <v>WS1</v>
      </c>
      <c r="KC1" s="19"/>
      <c r="KD1" s="19"/>
      <c r="KE1" s="19"/>
      <c r="KF1" s="19"/>
      <c r="KG1" s="19"/>
      <c r="KH1" s="19"/>
      <c r="KI1" s="19"/>
    </row>
    <row r="2" spans="1:295" x14ac:dyDescent="0.3">
      <c r="A2" s="4" t="s">
        <v>34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KI2"/>
  <sheetViews>
    <sheetView workbookViewId="0">
      <selection activeCell="B2" sqref="B2"/>
    </sheetView>
  </sheetViews>
  <sheetFormatPr defaultRowHeight="14.4" x14ac:dyDescent="0.3"/>
  <sheetData>
    <row r="1" spans="1:295" x14ac:dyDescent="0.3">
      <c r="A1" s="2" t="s">
        <v>31</v>
      </c>
      <c r="B1" s="19" t="str" cm="1">
        <f t="array" ref="B1:KB1">TRANSPOSE(_xlfn._xlws.FILTER(generator!$B$2:$B$295,generator!$J$2:$J$295&lt;&gt;0))</f>
        <v>EWIC</v>
      </c>
      <c r="C1" s="19" t="str">
        <v>DV1</v>
      </c>
      <c r="D1" s="19" t="str">
        <v>SB1</v>
      </c>
      <c r="E1" s="19" t="str">
        <v>KD1</v>
      </c>
      <c r="F1" s="19" t="str">
        <v>RD1</v>
      </c>
      <c r="G1" s="19" t="str">
        <v>OY1</v>
      </c>
      <c r="H1" s="19" t="str">
        <v>OY2</v>
      </c>
      <c r="I1" s="19" t="str">
        <v>KW1</v>
      </c>
      <c r="J1" s="19" t="str">
        <v>TN2</v>
      </c>
      <c r="K1" s="19" t="str">
        <v>AT1</v>
      </c>
      <c r="L1" s="19" t="str">
        <v>AT2</v>
      </c>
      <c r="M1" s="19" t="str">
        <v>AT4</v>
      </c>
      <c r="N1" s="19" t="str">
        <v>AD2</v>
      </c>
      <c r="O1" s="19" t="str">
        <v>MYM</v>
      </c>
      <c r="P1" s="19" t="str">
        <v>SL2</v>
      </c>
      <c r="Q1" s="19" t="str">
        <v>CBY</v>
      </c>
      <c r="R1" s="19" t="str">
        <v>AA1</v>
      </c>
      <c r="S1" s="19" t="str">
        <v>AA2</v>
      </c>
      <c r="T1" s="19" t="str">
        <v>AA3</v>
      </c>
      <c r="U1" s="19" t="str">
        <v>AA4</v>
      </c>
      <c r="V1" s="19" t="str">
        <v>ABK</v>
      </c>
      <c r="W1" s="19" t="str">
        <v>RL1</v>
      </c>
      <c r="X1" s="19" t="str">
        <v>YR1</v>
      </c>
      <c r="Y1" s="19" t="str">
        <v>AH1</v>
      </c>
      <c r="Z1" s="19" t="str">
        <v>XT1</v>
      </c>
      <c r="AA1" s="19" t="str">
        <v>SK3</v>
      </c>
      <c r="AB1" s="19" t="str">
        <v>SK4</v>
      </c>
      <c r="AC1" s="19" t="str">
        <v>BGT1</v>
      </c>
      <c r="AD1" s="19" t="str">
        <v>BGT2</v>
      </c>
      <c r="AE1" s="19" t="str">
        <v>B10</v>
      </c>
      <c r="AF1" s="19" t="str">
        <v>B31</v>
      </c>
      <c r="AG1" s="19" t="str">
        <v>B32</v>
      </c>
      <c r="AH1" s="19" t="str">
        <v>M</v>
      </c>
      <c r="AI1" s="19" t="str">
        <v>BW1</v>
      </c>
      <c r="AJ1" s="19" t="str">
        <v>HS1</v>
      </c>
      <c r="AK1" s="19" t="str">
        <v>RHY</v>
      </c>
      <c r="AL1" s="19" t="str">
        <v>EGH</v>
      </c>
      <c r="AM1" s="19" t="str">
        <v>BF1</v>
      </c>
      <c r="AN1" s="19" t="str">
        <v>SS1</v>
      </c>
      <c r="AO1" s="19" t="str">
        <v>CU1</v>
      </c>
      <c r="AP1" s="19" t="str">
        <v>MC1</v>
      </c>
      <c r="AQ1" s="19" t="str">
        <v>YV2</v>
      </c>
      <c r="AR1" s="19" t="str">
        <v>NA1</v>
      </c>
      <c r="AS1" s="19" t="str">
        <v>BG1</v>
      </c>
      <c r="AT1" s="19" t="str">
        <v>BG2</v>
      </c>
      <c r="AU1" s="19" t="str">
        <v>ES1</v>
      </c>
      <c r="AV1" s="19" t="str">
        <v>CD1</v>
      </c>
      <c r="AW1" s="19" t="str">
        <v>QA1</v>
      </c>
      <c r="AX1" s="19" t="str">
        <v>BT1</v>
      </c>
      <c r="AY1" s="19" t="str">
        <v>BT2</v>
      </c>
      <c r="AZ1" s="19" t="str">
        <v>LY1</v>
      </c>
      <c r="BA1" s="19" t="str">
        <v>SF1</v>
      </c>
      <c r="BB1" s="19" t="str">
        <v>SF2</v>
      </c>
      <c r="BC1" s="19" t="str">
        <v>BJ1</v>
      </c>
      <c r="BD1" s="19" t="str">
        <v>BKY</v>
      </c>
      <c r="BE1" s="19" t="str">
        <v>YM1</v>
      </c>
      <c r="BF1" s="19" t="str">
        <v>GE1</v>
      </c>
      <c r="BG1" s="19" t="str">
        <v>CNH</v>
      </c>
      <c r="BH1" s="19" t="str">
        <v>LE3</v>
      </c>
      <c r="BI1" s="19" t="str">
        <v>XA1</v>
      </c>
      <c r="BJ1" s="19" t="str">
        <v>MX1</v>
      </c>
      <c r="BK1" s="19" t="str">
        <v>AS1</v>
      </c>
      <c r="BL1" s="19" t="str">
        <v>ER3</v>
      </c>
      <c r="BM1" s="19" t="str">
        <v>ER4</v>
      </c>
      <c r="BN1" s="19" t="str">
        <v>CP1</v>
      </c>
      <c r="BO1" s="19" t="str">
        <v>CP3</v>
      </c>
      <c r="BP1" s="19" t="str">
        <v>GM1</v>
      </c>
      <c r="BQ1" s="19" t="str">
        <v>GU1</v>
      </c>
      <c r="BR1" s="19" t="str">
        <v>GY1</v>
      </c>
      <c r="BS1" s="19" t="str">
        <v>KQ1</v>
      </c>
      <c r="BT1" s="19" t="str">
        <v>PO1</v>
      </c>
      <c r="BU1" s="19" t="str">
        <v>CJ1</v>
      </c>
      <c r="BV1" s="19" t="str">
        <v>CJ2</v>
      </c>
      <c r="BW1" s="19" t="str">
        <v>ER1</v>
      </c>
      <c r="BX1" s="19" t="str">
        <v>ER2</v>
      </c>
      <c r="BY1" s="19" t="str">
        <v>CL1</v>
      </c>
      <c r="BZ1" s="19" t="str">
        <v>DA1</v>
      </c>
      <c r="CA1" s="19" t="str">
        <v>DA2</v>
      </c>
      <c r="CB1" s="19" t="str">
        <v>KI1</v>
      </c>
      <c r="CC1" s="19" t="str">
        <v>OA1</v>
      </c>
      <c r="CD1" s="19" t="str">
        <v>GAR</v>
      </c>
      <c r="CE1" s="19" t="str">
        <v>GRU</v>
      </c>
      <c r="CF1" s="19" t="str">
        <v>DMR</v>
      </c>
      <c r="CG1" s="19" t="str">
        <v>DBG</v>
      </c>
      <c r="CH1" s="19" t="str">
        <v>LPS</v>
      </c>
      <c r="CI1" s="19" t="str">
        <v>MBY</v>
      </c>
      <c r="CJ1" s="19" t="str">
        <v>CGT8</v>
      </c>
      <c r="CK1" s="19" t="str">
        <v>C30</v>
      </c>
      <c r="CL1" s="19" t="str">
        <v>CG1</v>
      </c>
      <c r="CM1" s="19" t="str">
        <v>CG2</v>
      </c>
      <c r="CN1" s="19" t="str">
        <v>CG3</v>
      </c>
      <c r="CO1" s="19" t="str">
        <v>YT1</v>
      </c>
      <c r="CP1" s="19" t="str">
        <v>GD1</v>
      </c>
      <c r="CQ1" s="19" t="str">
        <v>DL1</v>
      </c>
      <c r="CR1" s="19" t="str">
        <v>DL2</v>
      </c>
      <c r="CS1" s="19" t="str">
        <v>OG1</v>
      </c>
      <c r="CT1" s="19" t="str">
        <v>ST1</v>
      </c>
      <c r="CU1" s="19" t="str">
        <v>ST2</v>
      </c>
      <c r="CV1" s="19" t="str">
        <v>TM2</v>
      </c>
      <c r="CW1" s="19" t="str">
        <v>TM3</v>
      </c>
      <c r="CX1" s="19" t="str">
        <v>FG2</v>
      </c>
      <c r="CY1" s="19" t="str">
        <v>KG2</v>
      </c>
      <c r="CZ1" s="19" t="str">
        <v>KGM</v>
      </c>
      <c r="DA1" s="19" t="str">
        <v>ED1</v>
      </c>
      <c r="DB1" s="19" t="str">
        <v>ED3</v>
      </c>
      <c r="DC1" s="19" t="str">
        <v>ED5</v>
      </c>
      <c r="DD1" s="19" t="str">
        <v>MM1</v>
      </c>
      <c r="DE1" s="19" t="str">
        <v>QB1</v>
      </c>
      <c r="DF1" s="19" t="str">
        <v>DY1</v>
      </c>
      <c r="DG1" s="19" t="str">
        <v>NC1</v>
      </c>
      <c r="DH1" s="19" t="str">
        <v>RP1</v>
      </c>
      <c r="DI1" s="19" t="str">
        <v>RP2</v>
      </c>
      <c r="DJ1" s="19" t="str">
        <v>DR1</v>
      </c>
      <c r="DK1" s="19" t="str">
        <v>CNV</v>
      </c>
      <c r="DL1" s="19" t="str">
        <v>CCG</v>
      </c>
      <c r="DM1" s="19" t="str">
        <v>IW1</v>
      </c>
      <c r="DN1" s="19" t="str">
        <v>GR1</v>
      </c>
      <c r="DO1" s="19" t="str">
        <v>HT1</v>
      </c>
      <c r="DP1" s="19" t="str">
        <v>CRO</v>
      </c>
      <c r="DQ1" s="19" t="str">
        <v>BA1</v>
      </c>
      <c r="DR1" s="19" t="str">
        <v>BA2</v>
      </c>
      <c r="DS1" s="19" t="str">
        <v>BA3</v>
      </c>
      <c r="DT1" s="19" t="str">
        <v>KV1</v>
      </c>
      <c r="DU1" s="19" t="str">
        <v>CAL</v>
      </c>
      <c r="DV1" s="19" t="str">
        <v>ORA</v>
      </c>
      <c r="DW1" s="19" t="str">
        <v>DG1</v>
      </c>
      <c r="DX1" s="19" t="str">
        <v>IA1</v>
      </c>
      <c r="DY1" s="19" t="str">
        <v>IA2</v>
      </c>
      <c r="DZ1" s="19" t="str">
        <v>NB1</v>
      </c>
      <c r="EA1" s="19" t="str">
        <v>CZ1</v>
      </c>
      <c r="EB1" s="19" t="str">
        <v>CGR</v>
      </c>
      <c r="EC1" s="19" t="str">
        <v>EVG</v>
      </c>
      <c r="ED1" s="19" t="str">
        <v>DS1</v>
      </c>
      <c r="EE1" s="19" t="str">
        <v>GH1</v>
      </c>
      <c r="EF1" s="19" t="str">
        <v>GH2</v>
      </c>
      <c r="EG1" s="19" t="str">
        <v>WG1</v>
      </c>
      <c r="EH1" s="19" t="str">
        <v>GLC</v>
      </c>
      <c r="EI1" s="19" t="str">
        <v>MR1</v>
      </c>
      <c r="EJ1" s="19" t="str">
        <v>TR1</v>
      </c>
      <c r="EK1" s="19" t="str">
        <v>GJ1</v>
      </c>
      <c r="EL1" s="19" t="str">
        <v>XL1</v>
      </c>
      <c r="EM1" s="19" t="str">
        <v>XR1</v>
      </c>
      <c r="EN1" s="19" t="str">
        <v>GO1</v>
      </c>
      <c r="EO1" s="19" t="str">
        <v>SD1</v>
      </c>
      <c r="EP1" s="19" t="str">
        <v>SD2</v>
      </c>
      <c r="EQ1" s="19" t="str">
        <v>AKN</v>
      </c>
      <c r="ER1" s="19" t="str">
        <v>STS</v>
      </c>
      <c r="ES1" s="19" t="str">
        <v>TGS</v>
      </c>
      <c r="ET1" s="19" t="str">
        <v>MUR</v>
      </c>
      <c r="EU1" s="19" t="str">
        <v>GI4</v>
      </c>
      <c r="EV1" s="19" t="str">
        <v>HN2</v>
      </c>
      <c r="EW1" s="19" t="str">
        <v>HNC</v>
      </c>
      <c r="EX1" s="19" t="str">
        <v>MH1</v>
      </c>
      <c r="EY1" s="19" t="str">
        <v>IL1</v>
      </c>
      <c r="EZ1" s="19" t="str">
        <v>IL2</v>
      </c>
      <c r="FA1" s="19" t="str">
        <v>IL3</v>
      </c>
      <c r="FB1" s="19" t="str">
        <v>IL4</v>
      </c>
      <c r="FC1" s="19" t="str">
        <v>IL5</v>
      </c>
      <c r="FD1" s="19" t="str">
        <v>IL6</v>
      </c>
      <c r="FE1" s="19" t="str">
        <v>LE1</v>
      </c>
      <c r="FF1" s="19" t="str">
        <v>LE2</v>
      </c>
      <c r="FG1" s="19" t="str">
        <v>DB1</v>
      </c>
      <c r="FH1" s="19" t="str">
        <v>IS3</v>
      </c>
      <c r="FI1" s="19" t="str">
        <v>OE1</v>
      </c>
      <c r="FJ1" s="19" t="str">
        <v>KH1</v>
      </c>
      <c r="FK1" s="19" t="str">
        <v>EGL</v>
      </c>
      <c r="FL1" s="19" t="str">
        <v>CKT</v>
      </c>
      <c r="FM1" s="19" t="str">
        <v>KZ1</v>
      </c>
      <c r="FN1" s="19" t="str">
        <v>KZ3</v>
      </c>
      <c r="FO1" s="19" t="str">
        <v>LM1</v>
      </c>
      <c r="FP1" s="19" t="str">
        <v>KGT1</v>
      </c>
      <c r="FQ1" s="19" t="str">
        <v>KGT2</v>
      </c>
      <c r="FR1" s="19" t="str">
        <v>KGT3</v>
      </c>
      <c r="FS1" s="19" t="str">
        <v>KGT4</v>
      </c>
      <c r="FT1" s="19" t="str">
        <v>KGT6</v>
      </c>
      <c r="FU1" s="19" t="str">
        <v>KGT7</v>
      </c>
      <c r="FV1" s="19" t="str">
        <v>KC1</v>
      </c>
      <c r="FW1" s="19" t="str">
        <v>KU1</v>
      </c>
      <c r="FX1" s="19" t="str">
        <v>YW1</v>
      </c>
      <c r="FY1" s="19" t="str">
        <v>INW1_1</v>
      </c>
      <c r="FZ1" s="19" t="str">
        <v>UF1</v>
      </c>
      <c r="GA1" s="19" t="str">
        <v>BKL</v>
      </c>
      <c r="GB1" s="19" t="str">
        <v>LL1</v>
      </c>
      <c r="GC1" s="19" t="str">
        <v>CAR</v>
      </c>
      <c r="GD1" s="19" t="str">
        <v>CUH</v>
      </c>
      <c r="GE1" s="19" t="str">
        <v>BM1</v>
      </c>
      <c r="GF1" s="19" t="str">
        <v>SN1</v>
      </c>
      <c r="GG1" s="19" t="str">
        <v>ALT</v>
      </c>
      <c r="GH1" s="19" t="str">
        <v>AL2</v>
      </c>
      <c r="GI1" s="19" t="str">
        <v>NICG2</v>
      </c>
      <c r="GJ1" s="19" t="str">
        <v>LRP</v>
      </c>
      <c r="GK1" s="19" t="str">
        <v>BDP</v>
      </c>
      <c r="GL1" s="19" t="str">
        <v>MRP</v>
      </c>
      <c r="GM1" s="19" t="str">
        <v>BU1</v>
      </c>
      <c r="GN1" s="19" t="str">
        <v>LS1</v>
      </c>
      <c r="GO1" s="19" t="str">
        <v>LS2</v>
      </c>
      <c r="GP1" s="19" t="str">
        <v>LS3</v>
      </c>
      <c r="GQ1" s="19" t="str">
        <v>LA1</v>
      </c>
      <c r="GR1" s="19" t="str">
        <v>BY1</v>
      </c>
      <c r="GS1" s="19" t="str">
        <v>BY2</v>
      </c>
      <c r="GT1" s="19" t="str">
        <v>CK1</v>
      </c>
      <c r="GU1" s="19" t="str">
        <v>GT1</v>
      </c>
      <c r="GV1" s="19" t="str">
        <v>CNY</v>
      </c>
      <c r="GW1" s="19" t="str">
        <v>CUR</v>
      </c>
      <c r="GX1" s="19" t="str">
        <v>LO1</v>
      </c>
      <c r="GY1" s="19" t="str">
        <v>BN1</v>
      </c>
      <c r="GZ1" s="19" t="str">
        <v>JG1</v>
      </c>
      <c r="HA1" s="19" t="str">
        <v>CRI</v>
      </c>
      <c r="HB1" s="19" t="str">
        <v>CHU</v>
      </c>
      <c r="HC1" s="19" t="str">
        <v>TNG</v>
      </c>
      <c r="HD1" s="19" t="str">
        <v>SRN</v>
      </c>
      <c r="HE1" s="19" t="str">
        <v>TMA</v>
      </c>
      <c r="HF1" s="19" t="str">
        <v>GA2</v>
      </c>
      <c r="HG1" s="19" t="str">
        <v>RR2</v>
      </c>
      <c r="HH1" s="19" t="str">
        <v>VB1</v>
      </c>
      <c r="HI1" s="19" t="str">
        <v>MCT</v>
      </c>
      <c r="HJ1" s="19" t="str">
        <v>MP1</v>
      </c>
      <c r="HK1" s="19" t="str">
        <v>MP2</v>
      </c>
      <c r="HL1" s="19" t="str">
        <v>MP9</v>
      </c>
      <c r="HM1" s="19" t="str">
        <v>MP3</v>
      </c>
      <c r="HN1" s="19" t="str">
        <v>MO1</v>
      </c>
      <c r="HO1" s="19" t="str">
        <v>MB1</v>
      </c>
      <c r="HP1" s="19" t="str">
        <v>MB2</v>
      </c>
      <c r="HQ1" s="19" t="str">
        <v>DZ1</v>
      </c>
      <c r="HR1" s="19" t="str">
        <v>NW8</v>
      </c>
      <c r="HS1" s="19" t="str">
        <v>TB5</v>
      </c>
      <c r="HT1" s="19" t="str">
        <v>LEN</v>
      </c>
      <c r="HU1" s="19" t="str">
        <v>LEN1</v>
      </c>
      <c r="HV1" s="19" t="str">
        <v>HUN</v>
      </c>
      <c r="HW1" s="19" t="str">
        <v>TAP</v>
      </c>
      <c r="HX1" s="19" t="str">
        <v>SCR</v>
      </c>
      <c r="HY1" s="19" t="str">
        <v>LI1</v>
      </c>
      <c r="HZ1" s="19" t="str">
        <v>LI2</v>
      </c>
      <c r="IA1" s="19" t="str">
        <v>LI3</v>
      </c>
      <c r="IB1" s="19" t="str">
        <v>LI4</v>
      </c>
      <c r="IC1" s="19" t="str">
        <v>LI5</v>
      </c>
      <c r="ID1" s="19" t="str">
        <v>PB7</v>
      </c>
      <c r="IE1" s="19" t="str">
        <v>DW1</v>
      </c>
      <c r="IF1" s="19" t="str">
        <v>LMT</v>
      </c>
      <c r="IG1" s="19" t="str">
        <v>AVN</v>
      </c>
      <c r="IH1" s="19" t="str">
        <v>BNP</v>
      </c>
      <c r="II1" s="19" t="str">
        <v>GW1</v>
      </c>
      <c r="IJ1" s="19" t="str">
        <v>RC1</v>
      </c>
      <c r="IK1" s="19" t="str">
        <v>RT1</v>
      </c>
      <c r="IL1" s="19" t="str">
        <v>BD1</v>
      </c>
      <c r="IM1" s="19" t="str">
        <v>ML1</v>
      </c>
      <c r="IN1" s="19" t="str">
        <v>KM1</v>
      </c>
      <c r="IO1" s="19" t="str">
        <v>MU1</v>
      </c>
      <c r="IP1" s="19" t="str">
        <v>RO1</v>
      </c>
      <c r="IQ1" s="19" t="str">
        <v>LG1</v>
      </c>
      <c r="IR1" s="19" t="str">
        <v>AL1</v>
      </c>
      <c r="IS1" s="19" t="str">
        <v>SQ1</v>
      </c>
      <c r="IT1" s="19" t="str">
        <v>PBA</v>
      </c>
      <c r="IU1" s="19" t="str">
        <v>PBB</v>
      </c>
      <c r="IV1" s="19" t="str">
        <v>SK1</v>
      </c>
      <c r="IW1" s="19" t="str">
        <v>DN1</v>
      </c>
      <c r="IX1" s="19" t="str">
        <v>CMN</v>
      </c>
      <c r="IY1" s="19" t="str">
        <v>KF1</v>
      </c>
      <c r="IZ1" s="19" t="str">
        <v>TP1</v>
      </c>
      <c r="JA1" s="19" t="str">
        <v>TP3</v>
      </c>
      <c r="JB1" s="19" t="str">
        <v>AC1</v>
      </c>
      <c r="JC1" s="19" t="str">
        <v>BS1</v>
      </c>
      <c r="JD1" s="19" t="str">
        <v>YC2</v>
      </c>
      <c r="JE1" s="19" t="str">
        <v>TE1</v>
      </c>
      <c r="JF1" s="19" t="str">
        <v>BCW</v>
      </c>
      <c r="JG1" s="19" t="str">
        <v>TUR</v>
      </c>
      <c r="JH1" s="19" t="str">
        <v>GFB</v>
      </c>
      <c r="JI1" s="19" t="str">
        <v>CNR</v>
      </c>
      <c r="JJ1" s="19" t="str">
        <v>INT</v>
      </c>
      <c r="JK1" s="19" t="str">
        <v>CDN</v>
      </c>
      <c r="JL1" s="19" t="str">
        <v>CKD</v>
      </c>
      <c r="JM1" s="19" t="str">
        <v>KW2</v>
      </c>
      <c r="JN1" s="19" t="str">
        <v>TL1</v>
      </c>
      <c r="JO1" s="19" t="str">
        <v>MMR</v>
      </c>
      <c r="JP1" s="19" t="str">
        <v>TK1</v>
      </c>
      <c r="JQ1" s="19" t="str">
        <v>TH1</v>
      </c>
      <c r="JR1" s="19" t="str">
        <v>TH2</v>
      </c>
      <c r="JS1" s="19" t="str">
        <v>TH3</v>
      </c>
      <c r="JT1" s="19" t="str">
        <v>TH4</v>
      </c>
      <c r="JU1" s="19" t="str">
        <v>TYC</v>
      </c>
      <c r="JV1" s="19" t="str">
        <v>SO1</v>
      </c>
      <c r="JW1" s="19" t="str">
        <v>UG1</v>
      </c>
      <c r="JX1" s="19" t="str">
        <v>BX1</v>
      </c>
      <c r="JY1" s="19" t="str">
        <v>BX2</v>
      </c>
      <c r="JZ1" s="19" t="str">
        <v>CNS</v>
      </c>
      <c r="KA1" s="19" t="str">
        <v>RF1</v>
      </c>
      <c r="KB1" s="19" t="str">
        <v>WS1</v>
      </c>
      <c r="KC1" s="19"/>
      <c r="KD1" s="19"/>
      <c r="KE1" s="19"/>
      <c r="KF1" s="19"/>
      <c r="KG1" s="19"/>
      <c r="KH1" s="19"/>
      <c r="KI1" s="19"/>
    </row>
    <row r="2" spans="1:295" x14ac:dyDescent="0.3">
      <c r="A2" s="4" t="s">
        <v>34</v>
      </c>
      <c r="B2" s="19" cm="1">
        <f t="array" ref="B2:KB2">TRANSPOSE(_xlfn._xlws.FILTER(generator!$K$2:$K$295,generator!$J$2:$J$295&lt;&gt;0))</f>
        <v>-504</v>
      </c>
      <c r="C2" s="3">
        <v>0</v>
      </c>
      <c r="D2" s="12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15</v>
      </c>
      <c r="L2" s="3">
        <v>15</v>
      </c>
      <c r="M2" s="3">
        <v>15</v>
      </c>
      <c r="N2" s="3">
        <v>120</v>
      </c>
      <c r="O2" s="3">
        <v>0</v>
      </c>
      <c r="P2" s="3">
        <v>0</v>
      </c>
      <c r="Q2" s="3">
        <v>0</v>
      </c>
      <c r="R2" s="3">
        <v>11.9</v>
      </c>
      <c r="S2" s="3">
        <v>11.9</v>
      </c>
      <c r="T2" s="3">
        <v>11.9</v>
      </c>
      <c r="U2" s="3">
        <v>11.9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40</v>
      </c>
      <c r="AB2" s="3">
        <v>40</v>
      </c>
      <c r="AC2" s="3">
        <v>8</v>
      </c>
      <c r="AD2" s="3">
        <v>8</v>
      </c>
      <c r="AE2" s="3">
        <v>63</v>
      </c>
      <c r="AF2" s="3">
        <v>113</v>
      </c>
      <c r="AG2" s="3">
        <v>113</v>
      </c>
      <c r="AH2" s="3">
        <v>-441</v>
      </c>
      <c r="AI2" s="12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3</v>
      </c>
      <c r="BI2" s="3">
        <v>0</v>
      </c>
      <c r="BJ2" s="3">
        <v>0</v>
      </c>
      <c r="BK2" s="3">
        <v>0</v>
      </c>
      <c r="BL2" s="3">
        <v>5</v>
      </c>
      <c r="BM2" s="3">
        <v>5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4</v>
      </c>
      <c r="BX2" s="3">
        <v>4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12.74</v>
      </c>
      <c r="CI2" s="3">
        <v>0</v>
      </c>
      <c r="CJ2" s="3">
        <v>211</v>
      </c>
      <c r="CK2" s="3">
        <v>8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22.5</v>
      </c>
      <c r="CY2" s="3">
        <v>0</v>
      </c>
      <c r="CZ2" s="3">
        <v>0</v>
      </c>
      <c r="DA2" s="3">
        <v>41.15</v>
      </c>
      <c r="DB2" s="3">
        <v>20</v>
      </c>
      <c r="DC2" s="3">
        <v>20</v>
      </c>
      <c r="DD2" s="3">
        <v>0</v>
      </c>
      <c r="DE2" s="3">
        <v>0</v>
      </c>
      <c r="DF2" s="3">
        <v>0</v>
      </c>
      <c r="DG2" s="3">
        <v>0</v>
      </c>
      <c r="DH2" s="3">
        <v>5</v>
      </c>
      <c r="DI2" s="3">
        <v>5</v>
      </c>
      <c r="DJ2" s="3">
        <v>0</v>
      </c>
      <c r="DK2" s="3">
        <v>0</v>
      </c>
      <c r="DL2" s="3">
        <v>0</v>
      </c>
      <c r="DM2" s="3">
        <v>1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18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160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165</v>
      </c>
      <c r="EV2" s="3">
        <v>121</v>
      </c>
      <c r="EW2" s="3">
        <v>120</v>
      </c>
      <c r="EX2" s="3">
        <v>0</v>
      </c>
      <c r="EY2" s="3">
        <v>4.5999999999999996</v>
      </c>
      <c r="EZ2" s="3">
        <v>4.5999999999999996</v>
      </c>
      <c r="FA2" s="3">
        <v>4.5999999999999996</v>
      </c>
      <c r="FB2" s="3">
        <v>4.5999999999999996</v>
      </c>
      <c r="FC2" s="3">
        <v>4.5999999999999996</v>
      </c>
      <c r="FD2" s="3">
        <v>4.5999999999999996</v>
      </c>
      <c r="FE2" s="3">
        <v>3</v>
      </c>
      <c r="FF2" s="3">
        <v>1</v>
      </c>
      <c r="FG2" s="3">
        <v>110</v>
      </c>
      <c r="FH2" s="3">
        <v>22.7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0.2</v>
      </c>
      <c r="FO2" s="3">
        <v>0</v>
      </c>
      <c r="FP2" s="3">
        <v>5</v>
      </c>
      <c r="FQ2" s="3">
        <v>5</v>
      </c>
      <c r="FR2" s="3">
        <v>12.82</v>
      </c>
      <c r="FS2" s="3">
        <v>12.82</v>
      </c>
      <c r="FT2" s="3">
        <v>147</v>
      </c>
      <c r="FU2" s="3">
        <v>147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99</v>
      </c>
      <c r="HK2" s="3">
        <v>99</v>
      </c>
      <c r="HL2" s="3">
        <v>0</v>
      </c>
      <c r="HM2" s="3">
        <v>99</v>
      </c>
      <c r="HN2" s="3">
        <v>0</v>
      </c>
      <c r="HO2" s="3">
        <v>0</v>
      </c>
      <c r="HP2" s="3">
        <v>0</v>
      </c>
      <c r="HQ2" s="3">
        <v>0</v>
      </c>
      <c r="HR2" s="3">
        <v>17</v>
      </c>
      <c r="HS2" s="3">
        <v>25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3</v>
      </c>
      <c r="HZ2" s="3">
        <v>3</v>
      </c>
      <c r="IA2" s="3">
        <v>0</v>
      </c>
      <c r="IB2" s="3">
        <v>3.99</v>
      </c>
      <c r="IC2" s="3">
        <v>0.2</v>
      </c>
      <c r="ID2" s="3">
        <v>22.7</v>
      </c>
      <c r="IE2" s="3">
        <v>21.5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16</v>
      </c>
      <c r="IT2" s="3">
        <v>120</v>
      </c>
      <c r="IU2" s="3">
        <v>120</v>
      </c>
      <c r="IV2" s="3">
        <v>0</v>
      </c>
      <c r="IW2" s="3">
        <v>0</v>
      </c>
      <c r="IX2" s="3">
        <v>1</v>
      </c>
      <c r="IY2" s="3">
        <v>0</v>
      </c>
      <c r="IZ2" s="3">
        <v>5</v>
      </c>
      <c r="JA2" s="3">
        <v>5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0</v>
      </c>
      <c r="JN2" s="3">
        <v>0</v>
      </c>
      <c r="JO2" s="3">
        <v>0</v>
      </c>
      <c r="JP2" s="3">
        <v>0</v>
      </c>
      <c r="JQ2" s="3">
        <v>5</v>
      </c>
      <c r="JR2" s="3">
        <v>5</v>
      </c>
      <c r="JS2" s="3">
        <v>5</v>
      </c>
      <c r="JT2" s="3">
        <v>5</v>
      </c>
      <c r="JU2" s="3">
        <v>194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/>
      <c r="KD2" s="3"/>
      <c r="KE2" s="3"/>
      <c r="KF2" s="3"/>
      <c r="KG2" s="3"/>
      <c r="KH2" s="3"/>
      <c r="KI2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KI2"/>
  <sheetViews>
    <sheetView workbookViewId="0">
      <selection activeCell="B2" sqref="B2"/>
    </sheetView>
  </sheetViews>
  <sheetFormatPr defaultRowHeight="14.4" x14ac:dyDescent="0.3"/>
  <sheetData>
    <row r="1" spans="1:295" x14ac:dyDescent="0.3">
      <c r="A1" s="2" t="s">
        <v>31</v>
      </c>
      <c r="B1" s="19" t="str" cm="1">
        <f t="array" ref="B1:KB1">TRANSPOSE(_xlfn._xlws.FILTER(generator!$B$2:$B$295,generator!$J$2:$J$295&lt;&gt;0))</f>
        <v>EWIC</v>
      </c>
      <c r="C1" s="19" t="str">
        <v>DV1</v>
      </c>
      <c r="D1" s="19" t="str">
        <v>SB1</v>
      </c>
      <c r="E1" s="19" t="str">
        <v>KD1</v>
      </c>
      <c r="F1" s="19" t="str">
        <v>RD1</v>
      </c>
      <c r="G1" s="19" t="str">
        <v>OY1</v>
      </c>
      <c r="H1" s="19" t="str">
        <v>OY2</v>
      </c>
      <c r="I1" s="19" t="str">
        <v>KW1</v>
      </c>
      <c r="J1" s="19" t="str">
        <v>TN2</v>
      </c>
      <c r="K1" s="19" t="str">
        <v>AT1</v>
      </c>
      <c r="L1" s="19" t="str">
        <v>AT2</v>
      </c>
      <c r="M1" s="19" t="str">
        <v>AT4</v>
      </c>
      <c r="N1" s="19" t="str">
        <v>AD2</v>
      </c>
      <c r="O1" s="19" t="str">
        <v>MYM</v>
      </c>
      <c r="P1" s="19" t="str">
        <v>SL2</v>
      </c>
      <c r="Q1" s="19" t="str">
        <v>CBY</v>
      </c>
      <c r="R1" s="19" t="str">
        <v>AA1</v>
      </c>
      <c r="S1" s="19" t="str">
        <v>AA2</v>
      </c>
      <c r="T1" s="19" t="str">
        <v>AA3</v>
      </c>
      <c r="U1" s="19" t="str">
        <v>AA4</v>
      </c>
      <c r="V1" s="19" t="str">
        <v>ABK</v>
      </c>
      <c r="W1" s="19" t="str">
        <v>RL1</v>
      </c>
      <c r="X1" s="19" t="str">
        <v>YR1</v>
      </c>
      <c r="Y1" s="19" t="str">
        <v>AH1</v>
      </c>
      <c r="Z1" s="19" t="str">
        <v>XT1</v>
      </c>
      <c r="AA1" s="19" t="str">
        <v>SK3</v>
      </c>
      <c r="AB1" s="19" t="str">
        <v>SK4</v>
      </c>
      <c r="AC1" s="19" t="str">
        <v>BGT1</v>
      </c>
      <c r="AD1" s="19" t="str">
        <v>BGT2</v>
      </c>
      <c r="AE1" s="19" t="str">
        <v>B10</v>
      </c>
      <c r="AF1" s="19" t="str">
        <v>B31</v>
      </c>
      <c r="AG1" s="19" t="str">
        <v>B32</v>
      </c>
      <c r="AH1" s="19" t="str">
        <v>M</v>
      </c>
      <c r="AI1" s="19" t="str">
        <v>BW1</v>
      </c>
      <c r="AJ1" s="19" t="str">
        <v>HS1</v>
      </c>
      <c r="AK1" s="19" t="str">
        <v>RHY</v>
      </c>
      <c r="AL1" s="19" t="str">
        <v>EGH</v>
      </c>
      <c r="AM1" s="19" t="str">
        <v>BF1</v>
      </c>
      <c r="AN1" s="19" t="str">
        <v>SS1</v>
      </c>
      <c r="AO1" s="19" t="str">
        <v>CU1</v>
      </c>
      <c r="AP1" s="19" t="str">
        <v>MC1</v>
      </c>
      <c r="AQ1" s="19" t="str">
        <v>YV2</v>
      </c>
      <c r="AR1" s="19" t="str">
        <v>NA1</v>
      </c>
      <c r="AS1" s="19" t="str">
        <v>BG1</v>
      </c>
      <c r="AT1" s="19" t="str">
        <v>BG2</v>
      </c>
      <c r="AU1" s="19" t="str">
        <v>ES1</v>
      </c>
      <c r="AV1" s="19" t="str">
        <v>CD1</v>
      </c>
      <c r="AW1" s="19" t="str">
        <v>QA1</v>
      </c>
      <c r="AX1" s="19" t="str">
        <v>BT1</v>
      </c>
      <c r="AY1" s="19" t="str">
        <v>BT2</v>
      </c>
      <c r="AZ1" s="19" t="str">
        <v>LY1</v>
      </c>
      <c r="BA1" s="19" t="str">
        <v>SF1</v>
      </c>
      <c r="BB1" s="19" t="str">
        <v>SF2</v>
      </c>
      <c r="BC1" s="19" t="str">
        <v>BJ1</v>
      </c>
      <c r="BD1" s="19" t="str">
        <v>BKY</v>
      </c>
      <c r="BE1" s="19" t="str">
        <v>YM1</v>
      </c>
      <c r="BF1" s="19" t="str">
        <v>GE1</v>
      </c>
      <c r="BG1" s="19" t="str">
        <v>CNH</v>
      </c>
      <c r="BH1" s="19" t="str">
        <v>LE3</v>
      </c>
      <c r="BI1" s="19" t="str">
        <v>XA1</v>
      </c>
      <c r="BJ1" s="19" t="str">
        <v>MX1</v>
      </c>
      <c r="BK1" s="19" t="str">
        <v>AS1</v>
      </c>
      <c r="BL1" s="19" t="str">
        <v>ER3</v>
      </c>
      <c r="BM1" s="19" t="str">
        <v>ER4</v>
      </c>
      <c r="BN1" s="19" t="str">
        <v>CP1</v>
      </c>
      <c r="BO1" s="19" t="str">
        <v>CP3</v>
      </c>
      <c r="BP1" s="19" t="str">
        <v>GM1</v>
      </c>
      <c r="BQ1" s="19" t="str">
        <v>GU1</v>
      </c>
      <c r="BR1" s="19" t="str">
        <v>GY1</v>
      </c>
      <c r="BS1" s="19" t="str">
        <v>KQ1</v>
      </c>
      <c r="BT1" s="19" t="str">
        <v>PO1</v>
      </c>
      <c r="BU1" s="19" t="str">
        <v>CJ1</v>
      </c>
      <c r="BV1" s="19" t="str">
        <v>CJ2</v>
      </c>
      <c r="BW1" s="19" t="str">
        <v>ER1</v>
      </c>
      <c r="BX1" s="19" t="str">
        <v>ER2</v>
      </c>
      <c r="BY1" s="19" t="str">
        <v>CL1</v>
      </c>
      <c r="BZ1" s="19" t="str">
        <v>DA1</v>
      </c>
      <c r="CA1" s="19" t="str">
        <v>DA2</v>
      </c>
      <c r="CB1" s="19" t="str">
        <v>KI1</v>
      </c>
      <c r="CC1" s="19" t="str">
        <v>OA1</v>
      </c>
      <c r="CD1" s="19" t="str">
        <v>GAR</v>
      </c>
      <c r="CE1" s="19" t="str">
        <v>GRU</v>
      </c>
      <c r="CF1" s="19" t="str">
        <v>DMR</v>
      </c>
      <c r="CG1" s="19" t="str">
        <v>DBG</v>
      </c>
      <c r="CH1" s="19" t="str">
        <v>LPS</v>
      </c>
      <c r="CI1" s="19" t="str">
        <v>MBY</v>
      </c>
      <c r="CJ1" s="19" t="str">
        <v>CGT8</v>
      </c>
      <c r="CK1" s="19" t="str">
        <v>C30</v>
      </c>
      <c r="CL1" s="19" t="str">
        <v>CG1</v>
      </c>
      <c r="CM1" s="19" t="str">
        <v>CG2</v>
      </c>
      <c r="CN1" s="19" t="str">
        <v>CG3</v>
      </c>
      <c r="CO1" s="19" t="str">
        <v>YT1</v>
      </c>
      <c r="CP1" s="19" t="str">
        <v>GD1</v>
      </c>
      <c r="CQ1" s="19" t="str">
        <v>DL1</v>
      </c>
      <c r="CR1" s="19" t="str">
        <v>DL2</v>
      </c>
      <c r="CS1" s="19" t="str">
        <v>OG1</v>
      </c>
      <c r="CT1" s="19" t="str">
        <v>ST1</v>
      </c>
      <c r="CU1" s="19" t="str">
        <v>ST2</v>
      </c>
      <c r="CV1" s="19" t="str">
        <v>TM2</v>
      </c>
      <c r="CW1" s="19" t="str">
        <v>TM3</v>
      </c>
      <c r="CX1" s="19" t="str">
        <v>FG2</v>
      </c>
      <c r="CY1" s="19" t="str">
        <v>KG2</v>
      </c>
      <c r="CZ1" s="19" t="str">
        <v>KGM</v>
      </c>
      <c r="DA1" s="19" t="str">
        <v>ED1</v>
      </c>
      <c r="DB1" s="19" t="str">
        <v>ED3</v>
      </c>
      <c r="DC1" s="19" t="str">
        <v>ED5</v>
      </c>
      <c r="DD1" s="19" t="str">
        <v>MM1</v>
      </c>
      <c r="DE1" s="19" t="str">
        <v>QB1</v>
      </c>
      <c r="DF1" s="19" t="str">
        <v>DY1</v>
      </c>
      <c r="DG1" s="19" t="str">
        <v>NC1</v>
      </c>
      <c r="DH1" s="19" t="str">
        <v>RP1</v>
      </c>
      <c r="DI1" s="19" t="str">
        <v>RP2</v>
      </c>
      <c r="DJ1" s="19" t="str">
        <v>DR1</v>
      </c>
      <c r="DK1" s="19" t="str">
        <v>CNV</v>
      </c>
      <c r="DL1" s="19" t="str">
        <v>CCG</v>
      </c>
      <c r="DM1" s="19" t="str">
        <v>IW1</v>
      </c>
      <c r="DN1" s="19" t="str">
        <v>GR1</v>
      </c>
      <c r="DO1" s="19" t="str">
        <v>HT1</v>
      </c>
      <c r="DP1" s="19" t="str">
        <v>CRO</v>
      </c>
      <c r="DQ1" s="19" t="str">
        <v>BA1</v>
      </c>
      <c r="DR1" s="19" t="str">
        <v>BA2</v>
      </c>
      <c r="DS1" s="19" t="str">
        <v>BA3</v>
      </c>
      <c r="DT1" s="19" t="str">
        <v>KV1</v>
      </c>
      <c r="DU1" s="19" t="str">
        <v>CAL</v>
      </c>
      <c r="DV1" s="19" t="str">
        <v>ORA</v>
      </c>
      <c r="DW1" s="19" t="str">
        <v>DG1</v>
      </c>
      <c r="DX1" s="19" t="str">
        <v>IA1</v>
      </c>
      <c r="DY1" s="19" t="str">
        <v>IA2</v>
      </c>
      <c r="DZ1" s="19" t="str">
        <v>NB1</v>
      </c>
      <c r="EA1" s="19" t="str">
        <v>CZ1</v>
      </c>
      <c r="EB1" s="19" t="str">
        <v>CGR</v>
      </c>
      <c r="EC1" s="19" t="str">
        <v>EVG</v>
      </c>
      <c r="ED1" s="19" t="str">
        <v>DS1</v>
      </c>
      <c r="EE1" s="19" t="str">
        <v>GH1</v>
      </c>
      <c r="EF1" s="19" t="str">
        <v>GH2</v>
      </c>
      <c r="EG1" s="19" t="str">
        <v>WG1</v>
      </c>
      <c r="EH1" s="19" t="str">
        <v>GLC</v>
      </c>
      <c r="EI1" s="19" t="str">
        <v>MR1</v>
      </c>
      <c r="EJ1" s="19" t="str">
        <v>TR1</v>
      </c>
      <c r="EK1" s="19" t="str">
        <v>GJ1</v>
      </c>
      <c r="EL1" s="19" t="str">
        <v>XL1</v>
      </c>
      <c r="EM1" s="19" t="str">
        <v>XR1</v>
      </c>
      <c r="EN1" s="19" t="str">
        <v>GO1</v>
      </c>
      <c r="EO1" s="19" t="str">
        <v>SD1</v>
      </c>
      <c r="EP1" s="19" t="str">
        <v>SD2</v>
      </c>
      <c r="EQ1" s="19" t="str">
        <v>AKN</v>
      </c>
      <c r="ER1" s="19" t="str">
        <v>STS</v>
      </c>
      <c r="ES1" s="19" t="str">
        <v>TGS</v>
      </c>
      <c r="ET1" s="19" t="str">
        <v>MUR</v>
      </c>
      <c r="EU1" s="19" t="str">
        <v>GI4</v>
      </c>
      <c r="EV1" s="19" t="str">
        <v>HN2</v>
      </c>
      <c r="EW1" s="19" t="str">
        <v>HNC</v>
      </c>
      <c r="EX1" s="19" t="str">
        <v>MH1</v>
      </c>
      <c r="EY1" s="19" t="str">
        <v>IL1</v>
      </c>
      <c r="EZ1" s="19" t="str">
        <v>IL2</v>
      </c>
      <c r="FA1" s="19" t="str">
        <v>IL3</v>
      </c>
      <c r="FB1" s="19" t="str">
        <v>IL4</v>
      </c>
      <c r="FC1" s="19" t="str">
        <v>IL5</v>
      </c>
      <c r="FD1" s="19" t="str">
        <v>IL6</v>
      </c>
      <c r="FE1" s="19" t="str">
        <v>LE1</v>
      </c>
      <c r="FF1" s="19" t="str">
        <v>LE2</v>
      </c>
      <c r="FG1" s="19" t="str">
        <v>DB1</v>
      </c>
      <c r="FH1" s="19" t="str">
        <v>IS3</v>
      </c>
      <c r="FI1" s="19" t="str">
        <v>OE1</v>
      </c>
      <c r="FJ1" s="19" t="str">
        <v>KH1</v>
      </c>
      <c r="FK1" s="19" t="str">
        <v>EGL</v>
      </c>
      <c r="FL1" s="19" t="str">
        <v>CKT</v>
      </c>
      <c r="FM1" s="19" t="str">
        <v>KZ1</v>
      </c>
      <c r="FN1" s="19" t="str">
        <v>KZ3</v>
      </c>
      <c r="FO1" s="19" t="str">
        <v>LM1</v>
      </c>
      <c r="FP1" s="19" t="str">
        <v>KGT1</v>
      </c>
      <c r="FQ1" s="19" t="str">
        <v>KGT2</v>
      </c>
      <c r="FR1" s="19" t="str">
        <v>KGT3</v>
      </c>
      <c r="FS1" s="19" t="str">
        <v>KGT4</v>
      </c>
      <c r="FT1" s="19" t="str">
        <v>KGT6</v>
      </c>
      <c r="FU1" s="19" t="str">
        <v>KGT7</v>
      </c>
      <c r="FV1" s="19" t="str">
        <v>KC1</v>
      </c>
      <c r="FW1" s="19" t="str">
        <v>KU1</v>
      </c>
      <c r="FX1" s="19" t="str">
        <v>YW1</v>
      </c>
      <c r="FY1" s="19" t="str">
        <v>INW1_1</v>
      </c>
      <c r="FZ1" s="19" t="str">
        <v>UF1</v>
      </c>
      <c r="GA1" s="19" t="str">
        <v>BKL</v>
      </c>
      <c r="GB1" s="19" t="str">
        <v>LL1</v>
      </c>
      <c r="GC1" s="19" t="str">
        <v>CAR</v>
      </c>
      <c r="GD1" s="19" t="str">
        <v>CUH</v>
      </c>
      <c r="GE1" s="19" t="str">
        <v>BM1</v>
      </c>
      <c r="GF1" s="19" t="str">
        <v>SN1</v>
      </c>
      <c r="GG1" s="19" t="str">
        <v>ALT</v>
      </c>
      <c r="GH1" s="19" t="str">
        <v>AL2</v>
      </c>
      <c r="GI1" s="19" t="str">
        <v>NICG2</v>
      </c>
      <c r="GJ1" s="19" t="str">
        <v>LRP</v>
      </c>
      <c r="GK1" s="19" t="str">
        <v>BDP</v>
      </c>
      <c r="GL1" s="19" t="str">
        <v>MRP</v>
      </c>
      <c r="GM1" s="19" t="str">
        <v>BU1</v>
      </c>
      <c r="GN1" s="19" t="str">
        <v>LS1</v>
      </c>
      <c r="GO1" s="19" t="str">
        <v>LS2</v>
      </c>
      <c r="GP1" s="19" t="str">
        <v>LS3</v>
      </c>
      <c r="GQ1" s="19" t="str">
        <v>LA1</v>
      </c>
      <c r="GR1" s="19" t="str">
        <v>BY1</v>
      </c>
      <c r="GS1" s="19" t="str">
        <v>BY2</v>
      </c>
      <c r="GT1" s="19" t="str">
        <v>CK1</v>
      </c>
      <c r="GU1" s="19" t="str">
        <v>GT1</v>
      </c>
      <c r="GV1" s="19" t="str">
        <v>CNY</v>
      </c>
      <c r="GW1" s="19" t="str">
        <v>CUR</v>
      </c>
      <c r="GX1" s="19" t="str">
        <v>LO1</v>
      </c>
      <c r="GY1" s="19" t="str">
        <v>BN1</v>
      </c>
      <c r="GZ1" s="19" t="str">
        <v>JG1</v>
      </c>
      <c r="HA1" s="19" t="str">
        <v>CRI</v>
      </c>
      <c r="HB1" s="19" t="str">
        <v>CHU</v>
      </c>
      <c r="HC1" s="19" t="str">
        <v>TNG</v>
      </c>
      <c r="HD1" s="19" t="str">
        <v>SRN</v>
      </c>
      <c r="HE1" s="19" t="str">
        <v>TMA</v>
      </c>
      <c r="HF1" s="19" t="str">
        <v>GA2</v>
      </c>
      <c r="HG1" s="19" t="str">
        <v>RR2</v>
      </c>
      <c r="HH1" s="19" t="str">
        <v>VB1</v>
      </c>
      <c r="HI1" s="19" t="str">
        <v>MCT</v>
      </c>
      <c r="HJ1" s="19" t="str">
        <v>MP1</v>
      </c>
      <c r="HK1" s="19" t="str">
        <v>MP2</v>
      </c>
      <c r="HL1" s="19" t="str">
        <v>MP9</v>
      </c>
      <c r="HM1" s="19" t="str">
        <v>MP3</v>
      </c>
      <c r="HN1" s="19" t="str">
        <v>MO1</v>
      </c>
      <c r="HO1" s="19" t="str">
        <v>MB1</v>
      </c>
      <c r="HP1" s="19" t="str">
        <v>MB2</v>
      </c>
      <c r="HQ1" s="19" t="str">
        <v>DZ1</v>
      </c>
      <c r="HR1" s="19" t="str">
        <v>NW8</v>
      </c>
      <c r="HS1" s="19" t="str">
        <v>TB5</v>
      </c>
      <c r="HT1" s="19" t="str">
        <v>LEN</v>
      </c>
      <c r="HU1" s="19" t="str">
        <v>LEN1</v>
      </c>
      <c r="HV1" s="19" t="str">
        <v>HUN</v>
      </c>
      <c r="HW1" s="19" t="str">
        <v>TAP</v>
      </c>
      <c r="HX1" s="19" t="str">
        <v>SCR</v>
      </c>
      <c r="HY1" s="19" t="str">
        <v>LI1</v>
      </c>
      <c r="HZ1" s="19" t="str">
        <v>LI2</v>
      </c>
      <c r="IA1" s="19" t="str">
        <v>LI3</v>
      </c>
      <c r="IB1" s="19" t="str">
        <v>LI4</v>
      </c>
      <c r="IC1" s="19" t="str">
        <v>LI5</v>
      </c>
      <c r="ID1" s="19" t="str">
        <v>PB7</v>
      </c>
      <c r="IE1" s="19" t="str">
        <v>DW1</v>
      </c>
      <c r="IF1" s="19" t="str">
        <v>LMT</v>
      </c>
      <c r="IG1" s="19" t="str">
        <v>AVN</v>
      </c>
      <c r="IH1" s="19" t="str">
        <v>BNP</v>
      </c>
      <c r="II1" s="19" t="str">
        <v>GW1</v>
      </c>
      <c r="IJ1" s="19" t="str">
        <v>RC1</v>
      </c>
      <c r="IK1" s="19" t="str">
        <v>RT1</v>
      </c>
      <c r="IL1" s="19" t="str">
        <v>BD1</v>
      </c>
      <c r="IM1" s="19" t="str">
        <v>ML1</v>
      </c>
      <c r="IN1" s="19" t="str">
        <v>KM1</v>
      </c>
      <c r="IO1" s="19" t="str">
        <v>MU1</v>
      </c>
      <c r="IP1" s="19" t="str">
        <v>RO1</v>
      </c>
      <c r="IQ1" s="19" t="str">
        <v>LG1</v>
      </c>
      <c r="IR1" s="19" t="str">
        <v>AL1</v>
      </c>
      <c r="IS1" s="19" t="str">
        <v>SQ1</v>
      </c>
      <c r="IT1" s="19" t="str">
        <v>PBA</v>
      </c>
      <c r="IU1" s="19" t="str">
        <v>PBB</v>
      </c>
      <c r="IV1" s="19" t="str">
        <v>SK1</v>
      </c>
      <c r="IW1" s="19" t="str">
        <v>DN1</v>
      </c>
      <c r="IX1" s="19" t="str">
        <v>CMN</v>
      </c>
      <c r="IY1" s="19" t="str">
        <v>KF1</v>
      </c>
      <c r="IZ1" s="19" t="str">
        <v>TP1</v>
      </c>
      <c r="JA1" s="19" t="str">
        <v>TP3</v>
      </c>
      <c r="JB1" s="19" t="str">
        <v>AC1</v>
      </c>
      <c r="JC1" s="19" t="str">
        <v>BS1</v>
      </c>
      <c r="JD1" s="19" t="str">
        <v>YC2</v>
      </c>
      <c r="JE1" s="19" t="str">
        <v>TE1</v>
      </c>
      <c r="JF1" s="19" t="str">
        <v>BCW</v>
      </c>
      <c r="JG1" s="19" t="str">
        <v>TUR</v>
      </c>
      <c r="JH1" s="19" t="str">
        <v>GFB</v>
      </c>
      <c r="JI1" s="19" t="str">
        <v>CNR</v>
      </c>
      <c r="JJ1" s="19" t="str">
        <v>INT</v>
      </c>
      <c r="JK1" s="19" t="str">
        <v>CDN</v>
      </c>
      <c r="JL1" s="19" t="str">
        <v>CKD</v>
      </c>
      <c r="JM1" s="19" t="str">
        <v>KW2</v>
      </c>
      <c r="JN1" s="19" t="str">
        <v>TL1</v>
      </c>
      <c r="JO1" s="19" t="str">
        <v>MMR</v>
      </c>
      <c r="JP1" s="19" t="str">
        <v>TK1</v>
      </c>
      <c r="JQ1" s="19" t="str">
        <v>TH1</v>
      </c>
      <c r="JR1" s="19" t="str">
        <v>TH2</v>
      </c>
      <c r="JS1" s="19" t="str">
        <v>TH3</v>
      </c>
      <c r="JT1" s="19" t="str">
        <v>TH4</v>
      </c>
      <c r="JU1" s="19" t="str">
        <v>TYC</v>
      </c>
      <c r="JV1" s="19" t="str">
        <v>SO1</v>
      </c>
      <c r="JW1" s="19" t="str">
        <v>UG1</v>
      </c>
      <c r="JX1" s="19" t="str">
        <v>BX1</v>
      </c>
      <c r="JY1" s="19" t="str">
        <v>BX2</v>
      </c>
      <c r="JZ1" s="19" t="str">
        <v>CNS</v>
      </c>
      <c r="KA1" s="19" t="str">
        <v>RF1</v>
      </c>
      <c r="KB1" s="19" t="str">
        <v>WS1</v>
      </c>
      <c r="KC1" s="19"/>
      <c r="KD1" s="19"/>
      <c r="KE1" s="19"/>
      <c r="KF1" s="19"/>
      <c r="KG1" s="19"/>
      <c r="KH1" s="19"/>
      <c r="KI1" s="19"/>
    </row>
    <row r="2" spans="1:295" x14ac:dyDescent="0.3">
      <c r="A2" s="4" t="s">
        <v>34</v>
      </c>
      <c r="B2" s="19" cm="1">
        <f t="array" ref="B2:KB2">TRANSPOSE(_xlfn._xlws.FILTER(generator!$L$2:$L$295,generator!$J$2:$J$295&lt;&gt;0))</f>
        <v>526</v>
      </c>
      <c r="C2" s="4">
        <v>27</v>
      </c>
      <c r="D2" s="11">
        <v>58</v>
      </c>
      <c r="E2" s="4">
        <v>27</v>
      </c>
      <c r="F2" s="4">
        <v>45</v>
      </c>
      <c r="G2" s="4">
        <v>89</v>
      </c>
      <c r="H2" s="4">
        <v>83</v>
      </c>
      <c r="I2" s="4">
        <v>22.5</v>
      </c>
      <c r="J2" s="4">
        <v>17.2</v>
      </c>
      <c r="K2" s="4">
        <v>90</v>
      </c>
      <c r="L2" s="4">
        <v>90</v>
      </c>
      <c r="M2" s="4">
        <v>90</v>
      </c>
      <c r="N2" s="4">
        <v>449</v>
      </c>
      <c r="O2" s="4">
        <v>15</v>
      </c>
      <c r="P2" s="4">
        <v>54</v>
      </c>
      <c r="Q2" s="4">
        <v>5.4</v>
      </c>
      <c r="R2" s="4">
        <v>21</v>
      </c>
      <c r="S2" s="4">
        <v>22</v>
      </c>
      <c r="T2" s="4">
        <v>19</v>
      </c>
      <c r="U2" s="4">
        <v>24</v>
      </c>
      <c r="V2" s="4">
        <v>25.6</v>
      </c>
      <c r="W2" s="4">
        <v>35.200000000000003</v>
      </c>
      <c r="X2" s="4">
        <v>18</v>
      </c>
      <c r="Y2" s="4">
        <v>34.35</v>
      </c>
      <c r="Z2" s="4">
        <v>24</v>
      </c>
      <c r="AA2" s="4">
        <v>83</v>
      </c>
      <c r="AB2" s="4">
        <v>83</v>
      </c>
      <c r="AC2" s="4">
        <v>58</v>
      </c>
      <c r="AD2" s="4">
        <v>58</v>
      </c>
      <c r="AE2" s="4">
        <v>101</v>
      </c>
      <c r="AF2" s="4">
        <v>247</v>
      </c>
      <c r="AG2" s="4">
        <v>247</v>
      </c>
      <c r="AH2" s="4">
        <v>410</v>
      </c>
      <c r="AI2" s="11">
        <v>42</v>
      </c>
      <c r="AJ2" s="4">
        <v>10</v>
      </c>
      <c r="AK2" s="4">
        <v>21.15</v>
      </c>
      <c r="AL2" s="4">
        <v>23</v>
      </c>
      <c r="AM2" s="4">
        <v>32.4</v>
      </c>
      <c r="AN2" s="4">
        <v>16.8</v>
      </c>
      <c r="AO2" s="4">
        <v>4.3</v>
      </c>
      <c r="AP2" s="4">
        <v>11.9</v>
      </c>
      <c r="AQ2" s="4">
        <v>10.8</v>
      </c>
      <c r="AR2" s="4">
        <v>60</v>
      </c>
      <c r="AS2" s="4">
        <v>57</v>
      </c>
      <c r="AT2" s="4">
        <v>65.7</v>
      </c>
      <c r="AU2" s="4">
        <v>23.2</v>
      </c>
      <c r="AV2" s="4">
        <v>20</v>
      </c>
      <c r="AW2" s="4">
        <v>56.4</v>
      </c>
      <c r="AX2" s="4">
        <v>20</v>
      </c>
      <c r="AY2" s="4">
        <v>12</v>
      </c>
      <c r="AZ2" s="4">
        <v>13.4</v>
      </c>
      <c r="BA2" s="4">
        <v>24</v>
      </c>
      <c r="BB2" s="4">
        <v>8.5500000000000007</v>
      </c>
      <c r="BC2" s="4">
        <v>36.979999999999997</v>
      </c>
      <c r="BD2" s="4">
        <v>47.5</v>
      </c>
      <c r="BE2" s="4">
        <v>21</v>
      </c>
      <c r="BF2" s="4">
        <v>20</v>
      </c>
      <c r="BG2" s="4">
        <v>13.8</v>
      </c>
      <c r="BH2" s="4">
        <v>8</v>
      </c>
      <c r="BI2" s="4">
        <v>54.3</v>
      </c>
      <c r="BJ2" s="4">
        <v>18.7</v>
      </c>
      <c r="BK2" s="4">
        <v>17.5</v>
      </c>
      <c r="BL2" s="4">
        <v>22.5</v>
      </c>
      <c r="BM2" s="4">
        <v>22.5</v>
      </c>
      <c r="BN2" s="4">
        <v>52</v>
      </c>
      <c r="BO2" s="4">
        <v>14.132</v>
      </c>
      <c r="BP2" s="4">
        <v>38</v>
      </c>
      <c r="BQ2" s="4">
        <v>32.5</v>
      </c>
      <c r="BR2" s="4">
        <v>33</v>
      </c>
      <c r="BS2" s="4">
        <v>18.3</v>
      </c>
      <c r="BT2" s="4">
        <v>33.1</v>
      </c>
      <c r="BU2" s="4">
        <v>37.85</v>
      </c>
      <c r="BV2" s="4">
        <v>14</v>
      </c>
      <c r="BW2" s="4">
        <v>10</v>
      </c>
      <c r="BX2" s="4">
        <v>10</v>
      </c>
      <c r="BY2" s="4">
        <v>46</v>
      </c>
      <c r="BZ2" s="4">
        <v>20</v>
      </c>
      <c r="CA2" s="4">
        <v>12</v>
      </c>
      <c r="CB2" s="4">
        <v>11.5</v>
      </c>
      <c r="CC2" s="4">
        <v>90</v>
      </c>
      <c r="CD2" s="4">
        <v>15</v>
      </c>
      <c r="CE2" s="4">
        <v>25</v>
      </c>
      <c r="CF2" s="4">
        <v>21</v>
      </c>
      <c r="CG2" s="4">
        <v>42</v>
      </c>
      <c r="CH2" s="4">
        <v>17.600000000000001</v>
      </c>
      <c r="CI2" s="4">
        <v>12</v>
      </c>
      <c r="CJ2" s="4">
        <v>425</v>
      </c>
      <c r="CK2" s="4">
        <v>53</v>
      </c>
      <c r="CL2" s="4">
        <v>42.5</v>
      </c>
      <c r="CM2" s="4">
        <v>8.5</v>
      </c>
      <c r="CN2" s="4">
        <v>30</v>
      </c>
      <c r="CO2" s="4">
        <v>42.64</v>
      </c>
      <c r="CP2" s="4">
        <v>114.2</v>
      </c>
      <c r="CQ2" s="4">
        <v>36</v>
      </c>
      <c r="CR2" s="4">
        <v>54</v>
      </c>
      <c r="CS2" s="4">
        <v>17.5</v>
      </c>
      <c r="CT2" s="4">
        <v>34.5</v>
      </c>
      <c r="CU2" s="4">
        <v>4.8</v>
      </c>
      <c r="CV2" s="4">
        <v>10.3</v>
      </c>
      <c r="CW2" s="4">
        <v>13.58</v>
      </c>
      <c r="CX2" s="4">
        <v>63.5</v>
      </c>
      <c r="CY2" s="4">
        <v>11.05</v>
      </c>
      <c r="CZ2" s="4">
        <v>25</v>
      </c>
      <c r="DA2" s="4">
        <v>118</v>
      </c>
      <c r="DB2" s="4">
        <v>58</v>
      </c>
      <c r="DC2" s="4">
        <v>58</v>
      </c>
      <c r="DD2" s="4">
        <v>40.799999999999997</v>
      </c>
      <c r="DE2" s="4">
        <v>85</v>
      </c>
      <c r="DF2" s="4">
        <v>59.5</v>
      </c>
      <c r="DG2" s="4">
        <v>34</v>
      </c>
      <c r="DH2" s="4">
        <v>52</v>
      </c>
      <c r="DI2" s="4">
        <v>52</v>
      </c>
      <c r="DJ2" s="4">
        <v>28.5</v>
      </c>
      <c r="DK2" s="4">
        <v>38.4</v>
      </c>
      <c r="DL2" s="4">
        <v>25</v>
      </c>
      <c r="DM2" s="4">
        <v>17</v>
      </c>
      <c r="DN2" s="4">
        <v>16.100000000000001</v>
      </c>
      <c r="DO2" s="4">
        <v>14</v>
      </c>
      <c r="DP2" s="4">
        <v>17.5</v>
      </c>
      <c r="DQ2" s="4">
        <v>27.95</v>
      </c>
      <c r="DR2" s="4">
        <v>13.05</v>
      </c>
      <c r="DS2" s="4">
        <v>4.45</v>
      </c>
      <c r="DT2" s="4">
        <v>24.8</v>
      </c>
      <c r="DU2" s="4">
        <v>16.899999999999999</v>
      </c>
      <c r="DV2" s="4">
        <v>15</v>
      </c>
      <c r="DW2" s="4">
        <v>50</v>
      </c>
      <c r="DX2" s="4">
        <v>119</v>
      </c>
      <c r="DY2" s="4">
        <v>31.6</v>
      </c>
      <c r="DZ2" s="4">
        <v>95</v>
      </c>
      <c r="EA2" s="4">
        <v>59.225000000000001</v>
      </c>
      <c r="EB2" s="4">
        <v>23.5</v>
      </c>
      <c r="EC2" s="4">
        <v>46.8</v>
      </c>
      <c r="ED2" s="4">
        <v>32</v>
      </c>
      <c r="EE2" s="4">
        <v>26</v>
      </c>
      <c r="EF2" s="4">
        <v>22</v>
      </c>
      <c r="EG2" s="4">
        <v>444</v>
      </c>
      <c r="EH2" s="4">
        <v>29.8</v>
      </c>
      <c r="EI2" s="4">
        <v>13.8</v>
      </c>
      <c r="EJ2" s="4">
        <v>25.3</v>
      </c>
      <c r="EK2" s="4">
        <v>28</v>
      </c>
      <c r="EL2" s="4">
        <v>12.5</v>
      </c>
      <c r="EM2" s="4">
        <v>34.15</v>
      </c>
      <c r="EN2" s="4">
        <v>12</v>
      </c>
      <c r="EO2" s="4">
        <v>30</v>
      </c>
      <c r="EP2" s="4">
        <v>18.8</v>
      </c>
      <c r="EQ2" s="4">
        <v>14.1</v>
      </c>
      <c r="ER2" s="4">
        <v>16.100000000000001</v>
      </c>
      <c r="ES2" s="4">
        <v>12.5</v>
      </c>
      <c r="ET2" s="4">
        <v>21.6</v>
      </c>
      <c r="EU2" s="4">
        <v>464</v>
      </c>
      <c r="EV2" s="4">
        <v>400</v>
      </c>
      <c r="EW2" s="4">
        <v>342</v>
      </c>
      <c r="EX2" s="4">
        <v>35.950000000000003</v>
      </c>
      <c r="EY2" s="4">
        <v>18.54</v>
      </c>
      <c r="EZ2" s="4">
        <v>18.54</v>
      </c>
      <c r="FA2" s="4">
        <v>18.54</v>
      </c>
      <c r="FB2" s="4">
        <v>18.54</v>
      </c>
      <c r="FC2" s="4">
        <v>18.54</v>
      </c>
      <c r="FD2" s="4">
        <v>18.54</v>
      </c>
      <c r="FE2" s="4">
        <v>15</v>
      </c>
      <c r="FF2" s="4">
        <v>4</v>
      </c>
      <c r="FG2" s="4">
        <v>415</v>
      </c>
      <c r="FH2" s="4">
        <v>63.5</v>
      </c>
      <c r="FI2" s="4">
        <v>75</v>
      </c>
      <c r="FJ2" s="4">
        <v>36</v>
      </c>
      <c r="FK2" s="4">
        <v>15</v>
      </c>
      <c r="FL2" s="4">
        <v>20.7</v>
      </c>
      <c r="FM2" s="4">
        <v>37.049999999999997</v>
      </c>
      <c r="FN2" s="4">
        <v>2</v>
      </c>
      <c r="FO2" s="4">
        <v>18</v>
      </c>
      <c r="FP2" s="4">
        <v>29.2</v>
      </c>
      <c r="FQ2" s="4">
        <v>29.2</v>
      </c>
      <c r="FR2" s="4">
        <v>41.61</v>
      </c>
      <c r="FS2" s="4">
        <v>41.61</v>
      </c>
      <c r="FT2" s="4">
        <v>350</v>
      </c>
      <c r="FU2" s="4">
        <v>350</v>
      </c>
      <c r="FV2" s="4">
        <v>100</v>
      </c>
      <c r="FW2" s="4">
        <v>33.6</v>
      </c>
      <c r="FX2" s="4">
        <v>101</v>
      </c>
      <c r="FY2" s="4">
        <v>2.34</v>
      </c>
      <c r="FZ2" s="4">
        <v>91.2</v>
      </c>
      <c r="GA2" s="4">
        <v>16.100000000000001</v>
      </c>
      <c r="GB2" s="4">
        <v>30.1</v>
      </c>
      <c r="GC2" s="4">
        <v>15</v>
      </c>
      <c r="GD2" s="4">
        <v>11.88</v>
      </c>
      <c r="GE2" s="4">
        <v>14</v>
      </c>
      <c r="GF2" s="4">
        <v>38.9</v>
      </c>
      <c r="GG2" s="4">
        <v>26</v>
      </c>
      <c r="GH2" s="4">
        <v>11.7</v>
      </c>
      <c r="GI2" s="4">
        <v>3.0209999999999999</v>
      </c>
      <c r="GJ2" s="4">
        <v>25.2</v>
      </c>
      <c r="GK2" s="4">
        <v>16.920000000000002</v>
      </c>
      <c r="GL2" s="4">
        <v>20.43</v>
      </c>
      <c r="GM2" s="4">
        <v>40</v>
      </c>
      <c r="GN2" s="4">
        <v>36</v>
      </c>
      <c r="GO2" s="4">
        <v>23</v>
      </c>
      <c r="GP2" s="4">
        <v>28.8</v>
      </c>
      <c r="GQ2" s="4">
        <v>48.8</v>
      </c>
      <c r="GR2" s="4">
        <v>15</v>
      </c>
      <c r="GS2" s="4">
        <v>9.1999999999999993</v>
      </c>
      <c r="GT2" s="4">
        <v>41.4</v>
      </c>
      <c r="GU2" s="4">
        <v>14.8</v>
      </c>
      <c r="GV2" s="4">
        <v>9.1999999999999993</v>
      </c>
      <c r="GW2" s="4">
        <v>15</v>
      </c>
      <c r="GX2" s="4">
        <v>87</v>
      </c>
      <c r="GY2" s="4">
        <v>24</v>
      </c>
      <c r="GZ2" s="4">
        <v>4</v>
      </c>
      <c r="HA2" s="4">
        <v>32.200000000000003</v>
      </c>
      <c r="HB2" s="4">
        <v>18.399999999999999</v>
      </c>
      <c r="HC2" s="4">
        <v>20</v>
      </c>
      <c r="HD2" s="4">
        <v>14.1</v>
      </c>
      <c r="HE2" s="4">
        <v>34.5</v>
      </c>
      <c r="HF2" s="4">
        <v>10.5</v>
      </c>
      <c r="HG2" s="4">
        <v>11.5</v>
      </c>
      <c r="HH2" s="4">
        <v>23.1</v>
      </c>
      <c r="HI2" s="4">
        <v>84.96</v>
      </c>
      <c r="HJ2" s="4">
        <v>285</v>
      </c>
      <c r="HK2" s="4">
        <v>285</v>
      </c>
      <c r="HL2" s="4">
        <v>17.25</v>
      </c>
      <c r="HM2" s="4">
        <v>285</v>
      </c>
      <c r="HN2" s="4">
        <v>80</v>
      </c>
      <c r="HO2" s="4">
        <v>89.85</v>
      </c>
      <c r="HP2" s="4">
        <v>5.4</v>
      </c>
      <c r="HQ2" s="4">
        <v>12</v>
      </c>
      <c r="HR2" s="4">
        <v>200</v>
      </c>
      <c r="HS2" s="4">
        <v>160</v>
      </c>
      <c r="HT2" s="4">
        <v>7.26</v>
      </c>
      <c r="HU2" s="4">
        <v>5.94</v>
      </c>
      <c r="HV2" s="4">
        <v>20</v>
      </c>
      <c r="HW2" s="4">
        <v>28.5</v>
      </c>
      <c r="HX2" s="4">
        <v>20</v>
      </c>
      <c r="HY2" s="4">
        <v>15</v>
      </c>
      <c r="HZ2" s="4">
        <v>15</v>
      </c>
      <c r="IA2" s="4">
        <v>0.18</v>
      </c>
      <c r="IB2" s="4">
        <v>4</v>
      </c>
      <c r="IC2" s="4">
        <v>4</v>
      </c>
      <c r="ID2" s="4">
        <v>63.5</v>
      </c>
      <c r="IE2" s="4">
        <v>61.5</v>
      </c>
      <c r="IF2" s="4">
        <v>27.6</v>
      </c>
      <c r="IG2" s="4">
        <v>18</v>
      </c>
      <c r="IH2" s="4">
        <v>29.81</v>
      </c>
      <c r="II2" s="4">
        <v>15</v>
      </c>
      <c r="IJ2" s="4">
        <v>12.5</v>
      </c>
      <c r="IK2" s="4">
        <v>95</v>
      </c>
      <c r="IL2" s="4">
        <v>48</v>
      </c>
      <c r="IM2" s="4">
        <v>30.62</v>
      </c>
      <c r="IN2" s="4">
        <v>44.35</v>
      </c>
      <c r="IO2" s="4">
        <v>14.8</v>
      </c>
      <c r="IP2" s="4">
        <v>95</v>
      </c>
      <c r="IQ2" s="4">
        <v>40.9</v>
      </c>
      <c r="IR2" s="4">
        <v>20.5</v>
      </c>
      <c r="IS2" s="4">
        <v>260</v>
      </c>
      <c r="IT2" s="4">
        <v>240</v>
      </c>
      <c r="IU2" s="4">
        <v>236</v>
      </c>
      <c r="IV2" s="4">
        <v>73.599999999999994</v>
      </c>
      <c r="IW2" s="4">
        <v>105</v>
      </c>
      <c r="IX2" s="4">
        <v>20</v>
      </c>
      <c r="IY2" s="4">
        <v>19.2</v>
      </c>
      <c r="IZ2" s="4">
        <v>52</v>
      </c>
      <c r="JA2" s="4">
        <v>52</v>
      </c>
      <c r="JB2" s="4">
        <v>11.5</v>
      </c>
      <c r="JC2" s="4">
        <v>13.8</v>
      </c>
      <c r="JD2" s="4">
        <v>17.25</v>
      </c>
      <c r="JE2" s="4">
        <v>70</v>
      </c>
      <c r="JF2" s="4">
        <v>13.3</v>
      </c>
      <c r="JG2" s="4">
        <v>15.18</v>
      </c>
      <c r="JH2" s="4">
        <v>15</v>
      </c>
      <c r="JI2" s="4">
        <v>13.8</v>
      </c>
      <c r="JJ2" s="4">
        <v>13.8</v>
      </c>
      <c r="JK2" s="4">
        <v>15</v>
      </c>
      <c r="JL2" s="4">
        <v>12.5</v>
      </c>
      <c r="JM2" s="4">
        <v>6.6</v>
      </c>
      <c r="JN2" s="4">
        <v>50</v>
      </c>
      <c r="JO2" s="4">
        <v>12.6</v>
      </c>
      <c r="JP2" s="4">
        <v>13.8</v>
      </c>
      <c r="JQ2" s="4">
        <v>73</v>
      </c>
      <c r="JR2" s="4">
        <v>73</v>
      </c>
      <c r="JS2" s="4">
        <v>73</v>
      </c>
      <c r="JT2" s="4">
        <v>73</v>
      </c>
      <c r="JU2" s="4">
        <v>404</v>
      </c>
      <c r="JV2" s="4">
        <v>105</v>
      </c>
      <c r="JW2" s="4">
        <v>64</v>
      </c>
      <c r="JX2" s="4">
        <v>6</v>
      </c>
      <c r="JY2" s="4">
        <v>9</v>
      </c>
      <c r="JZ2" s="4">
        <v>11.9</v>
      </c>
      <c r="KA2" s="4">
        <v>27</v>
      </c>
      <c r="KB2" s="4">
        <v>20</v>
      </c>
      <c r="KC2" s="4"/>
      <c r="KD2" s="4"/>
      <c r="KE2" s="4"/>
      <c r="KF2" s="4"/>
      <c r="KG2" s="4"/>
      <c r="KH2" s="4"/>
      <c r="KI2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KI2"/>
  <sheetViews>
    <sheetView workbookViewId="0">
      <selection activeCell="B2" sqref="B2"/>
    </sheetView>
  </sheetViews>
  <sheetFormatPr defaultRowHeight="14.4" x14ac:dyDescent="0.3"/>
  <sheetData>
    <row r="1" spans="1:295" x14ac:dyDescent="0.3">
      <c r="A1" s="2" t="s">
        <v>31</v>
      </c>
      <c r="B1" s="19" t="str" cm="1">
        <f t="array" ref="B1:KB1">TRANSPOSE(_xlfn._xlws.FILTER(generator!$B$2:$B$295,generator!$J$2:$J$295&lt;&gt;0))</f>
        <v>EWIC</v>
      </c>
      <c r="C1" s="19" t="str">
        <v>DV1</v>
      </c>
      <c r="D1" s="19" t="str">
        <v>SB1</v>
      </c>
      <c r="E1" s="19" t="str">
        <v>KD1</v>
      </c>
      <c r="F1" s="19" t="str">
        <v>RD1</v>
      </c>
      <c r="G1" s="19" t="str">
        <v>OY1</v>
      </c>
      <c r="H1" s="19" t="str">
        <v>OY2</v>
      </c>
      <c r="I1" s="19" t="str">
        <v>KW1</v>
      </c>
      <c r="J1" s="19" t="str">
        <v>TN2</v>
      </c>
      <c r="K1" s="19" t="str">
        <v>AT1</v>
      </c>
      <c r="L1" s="19" t="str">
        <v>AT2</v>
      </c>
      <c r="M1" s="19" t="str">
        <v>AT4</v>
      </c>
      <c r="N1" s="19" t="str">
        <v>AD2</v>
      </c>
      <c r="O1" s="19" t="str">
        <v>MYM</v>
      </c>
      <c r="P1" s="19" t="str">
        <v>SL2</v>
      </c>
      <c r="Q1" s="19" t="str">
        <v>CBY</v>
      </c>
      <c r="R1" s="19" t="str">
        <v>AA1</v>
      </c>
      <c r="S1" s="19" t="str">
        <v>AA2</v>
      </c>
      <c r="T1" s="19" t="str">
        <v>AA3</v>
      </c>
      <c r="U1" s="19" t="str">
        <v>AA4</v>
      </c>
      <c r="V1" s="19" t="str">
        <v>ABK</v>
      </c>
      <c r="W1" s="19" t="str">
        <v>RL1</v>
      </c>
      <c r="X1" s="19" t="str">
        <v>YR1</v>
      </c>
      <c r="Y1" s="19" t="str">
        <v>AH1</v>
      </c>
      <c r="Z1" s="19" t="str">
        <v>XT1</v>
      </c>
      <c r="AA1" s="19" t="str">
        <v>SK3</v>
      </c>
      <c r="AB1" s="19" t="str">
        <v>SK4</v>
      </c>
      <c r="AC1" s="19" t="str">
        <v>BGT1</v>
      </c>
      <c r="AD1" s="19" t="str">
        <v>BGT2</v>
      </c>
      <c r="AE1" s="19" t="str">
        <v>B10</v>
      </c>
      <c r="AF1" s="19" t="str">
        <v>B31</v>
      </c>
      <c r="AG1" s="19" t="str">
        <v>B32</v>
      </c>
      <c r="AH1" s="19" t="str">
        <v>M</v>
      </c>
      <c r="AI1" s="19" t="str">
        <v>BW1</v>
      </c>
      <c r="AJ1" s="19" t="str">
        <v>HS1</v>
      </c>
      <c r="AK1" s="19" t="str">
        <v>RHY</v>
      </c>
      <c r="AL1" s="19" t="str">
        <v>EGH</v>
      </c>
      <c r="AM1" s="19" t="str">
        <v>BF1</v>
      </c>
      <c r="AN1" s="19" t="str">
        <v>SS1</v>
      </c>
      <c r="AO1" s="19" t="str">
        <v>CU1</v>
      </c>
      <c r="AP1" s="19" t="str">
        <v>MC1</v>
      </c>
      <c r="AQ1" s="19" t="str">
        <v>YV2</v>
      </c>
      <c r="AR1" s="19" t="str">
        <v>NA1</v>
      </c>
      <c r="AS1" s="19" t="str">
        <v>BG1</v>
      </c>
      <c r="AT1" s="19" t="str">
        <v>BG2</v>
      </c>
      <c r="AU1" s="19" t="str">
        <v>ES1</v>
      </c>
      <c r="AV1" s="19" t="str">
        <v>CD1</v>
      </c>
      <c r="AW1" s="19" t="str">
        <v>QA1</v>
      </c>
      <c r="AX1" s="19" t="str">
        <v>BT1</v>
      </c>
      <c r="AY1" s="19" t="str">
        <v>BT2</v>
      </c>
      <c r="AZ1" s="19" t="str">
        <v>LY1</v>
      </c>
      <c r="BA1" s="19" t="str">
        <v>SF1</v>
      </c>
      <c r="BB1" s="19" t="str">
        <v>SF2</v>
      </c>
      <c r="BC1" s="19" t="str">
        <v>BJ1</v>
      </c>
      <c r="BD1" s="19" t="str">
        <v>BKY</v>
      </c>
      <c r="BE1" s="19" t="str">
        <v>YM1</v>
      </c>
      <c r="BF1" s="19" t="str">
        <v>GE1</v>
      </c>
      <c r="BG1" s="19" t="str">
        <v>CNH</v>
      </c>
      <c r="BH1" s="19" t="str">
        <v>LE3</v>
      </c>
      <c r="BI1" s="19" t="str">
        <v>XA1</v>
      </c>
      <c r="BJ1" s="19" t="str">
        <v>MX1</v>
      </c>
      <c r="BK1" s="19" t="str">
        <v>AS1</v>
      </c>
      <c r="BL1" s="19" t="str">
        <v>ER3</v>
      </c>
      <c r="BM1" s="19" t="str">
        <v>ER4</v>
      </c>
      <c r="BN1" s="19" t="str">
        <v>CP1</v>
      </c>
      <c r="BO1" s="19" t="str">
        <v>CP3</v>
      </c>
      <c r="BP1" s="19" t="str">
        <v>GM1</v>
      </c>
      <c r="BQ1" s="19" t="str">
        <v>GU1</v>
      </c>
      <c r="BR1" s="19" t="str">
        <v>GY1</v>
      </c>
      <c r="BS1" s="19" t="str">
        <v>KQ1</v>
      </c>
      <c r="BT1" s="19" t="str">
        <v>PO1</v>
      </c>
      <c r="BU1" s="19" t="str">
        <v>CJ1</v>
      </c>
      <c r="BV1" s="19" t="str">
        <v>CJ2</v>
      </c>
      <c r="BW1" s="19" t="str">
        <v>ER1</v>
      </c>
      <c r="BX1" s="19" t="str">
        <v>ER2</v>
      </c>
      <c r="BY1" s="19" t="str">
        <v>CL1</v>
      </c>
      <c r="BZ1" s="19" t="str">
        <v>DA1</v>
      </c>
      <c r="CA1" s="19" t="str">
        <v>DA2</v>
      </c>
      <c r="CB1" s="19" t="str">
        <v>KI1</v>
      </c>
      <c r="CC1" s="19" t="str">
        <v>OA1</v>
      </c>
      <c r="CD1" s="19" t="str">
        <v>GAR</v>
      </c>
      <c r="CE1" s="19" t="str">
        <v>GRU</v>
      </c>
      <c r="CF1" s="19" t="str">
        <v>DMR</v>
      </c>
      <c r="CG1" s="19" t="str">
        <v>DBG</v>
      </c>
      <c r="CH1" s="19" t="str">
        <v>LPS</v>
      </c>
      <c r="CI1" s="19" t="str">
        <v>MBY</v>
      </c>
      <c r="CJ1" s="19" t="str">
        <v>CGT8</v>
      </c>
      <c r="CK1" s="19" t="str">
        <v>C30</v>
      </c>
      <c r="CL1" s="19" t="str">
        <v>CG1</v>
      </c>
      <c r="CM1" s="19" t="str">
        <v>CG2</v>
      </c>
      <c r="CN1" s="19" t="str">
        <v>CG3</v>
      </c>
      <c r="CO1" s="19" t="str">
        <v>YT1</v>
      </c>
      <c r="CP1" s="19" t="str">
        <v>GD1</v>
      </c>
      <c r="CQ1" s="19" t="str">
        <v>DL1</v>
      </c>
      <c r="CR1" s="19" t="str">
        <v>DL2</v>
      </c>
      <c r="CS1" s="19" t="str">
        <v>OG1</v>
      </c>
      <c r="CT1" s="19" t="str">
        <v>ST1</v>
      </c>
      <c r="CU1" s="19" t="str">
        <v>ST2</v>
      </c>
      <c r="CV1" s="19" t="str">
        <v>TM2</v>
      </c>
      <c r="CW1" s="19" t="str">
        <v>TM3</v>
      </c>
      <c r="CX1" s="19" t="str">
        <v>FG2</v>
      </c>
      <c r="CY1" s="19" t="str">
        <v>KG2</v>
      </c>
      <c r="CZ1" s="19" t="str">
        <v>KGM</v>
      </c>
      <c r="DA1" s="19" t="str">
        <v>ED1</v>
      </c>
      <c r="DB1" s="19" t="str">
        <v>ED3</v>
      </c>
      <c r="DC1" s="19" t="str">
        <v>ED5</v>
      </c>
      <c r="DD1" s="19" t="str">
        <v>MM1</v>
      </c>
      <c r="DE1" s="19" t="str">
        <v>QB1</v>
      </c>
      <c r="DF1" s="19" t="str">
        <v>DY1</v>
      </c>
      <c r="DG1" s="19" t="str">
        <v>NC1</v>
      </c>
      <c r="DH1" s="19" t="str">
        <v>RP1</v>
      </c>
      <c r="DI1" s="19" t="str">
        <v>RP2</v>
      </c>
      <c r="DJ1" s="19" t="str">
        <v>DR1</v>
      </c>
      <c r="DK1" s="19" t="str">
        <v>CNV</v>
      </c>
      <c r="DL1" s="19" t="str">
        <v>CCG</v>
      </c>
      <c r="DM1" s="19" t="str">
        <v>IW1</v>
      </c>
      <c r="DN1" s="19" t="str">
        <v>GR1</v>
      </c>
      <c r="DO1" s="19" t="str">
        <v>HT1</v>
      </c>
      <c r="DP1" s="19" t="str">
        <v>CRO</v>
      </c>
      <c r="DQ1" s="19" t="str">
        <v>BA1</v>
      </c>
      <c r="DR1" s="19" t="str">
        <v>BA2</v>
      </c>
      <c r="DS1" s="19" t="str">
        <v>BA3</v>
      </c>
      <c r="DT1" s="19" t="str">
        <v>KV1</v>
      </c>
      <c r="DU1" s="19" t="str">
        <v>CAL</v>
      </c>
      <c r="DV1" s="19" t="str">
        <v>ORA</v>
      </c>
      <c r="DW1" s="19" t="str">
        <v>DG1</v>
      </c>
      <c r="DX1" s="19" t="str">
        <v>IA1</v>
      </c>
      <c r="DY1" s="19" t="str">
        <v>IA2</v>
      </c>
      <c r="DZ1" s="19" t="str">
        <v>NB1</v>
      </c>
      <c r="EA1" s="19" t="str">
        <v>CZ1</v>
      </c>
      <c r="EB1" s="19" t="str">
        <v>CGR</v>
      </c>
      <c r="EC1" s="19" t="str">
        <v>EVG</v>
      </c>
      <c r="ED1" s="19" t="str">
        <v>DS1</v>
      </c>
      <c r="EE1" s="19" t="str">
        <v>GH1</v>
      </c>
      <c r="EF1" s="19" t="str">
        <v>GH2</v>
      </c>
      <c r="EG1" s="19" t="str">
        <v>WG1</v>
      </c>
      <c r="EH1" s="19" t="str">
        <v>GLC</v>
      </c>
      <c r="EI1" s="19" t="str">
        <v>MR1</v>
      </c>
      <c r="EJ1" s="19" t="str">
        <v>TR1</v>
      </c>
      <c r="EK1" s="19" t="str">
        <v>GJ1</v>
      </c>
      <c r="EL1" s="19" t="str">
        <v>XL1</v>
      </c>
      <c r="EM1" s="19" t="str">
        <v>XR1</v>
      </c>
      <c r="EN1" s="19" t="str">
        <v>GO1</v>
      </c>
      <c r="EO1" s="19" t="str">
        <v>SD1</v>
      </c>
      <c r="EP1" s="19" t="str">
        <v>SD2</v>
      </c>
      <c r="EQ1" s="19" t="str">
        <v>AKN</v>
      </c>
      <c r="ER1" s="19" t="str">
        <v>STS</v>
      </c>
      <c r="ES1" s="19" t="str">
        <v>TGS</v>
      </c>
      <c r="ET1" s="19" t="str">
        <v>MUR</v>
      </c>
      <c r="EU1" s="19" t="str">
        <v>GI4</v>
      </c>
      <c r="EV1" s="19" t="str">
        <v>HN2</v>
      </c>
      <c r="EW1" s="19" t="str">
        <v>HNC</v>
      </c>
      <c r="EX1" s="19" t="str">
        <v>MH1</v>
      </c>
      <c r="EY1" s="19" t="str">
        <v>IL1</v>
      </c>
      <c r="EZ1" s="19" t="str">
        <v>IL2</v>
      </c>
      <c r="FA1" s="19" t="str">
        <v>IL3</v>
      </c>
      <c r="FB1" s="19" t="str">
        <v>IL4</v>
      </c>
      <c r="FC1" s="19" t="str">
        <v>IL5</v>
      </c>
      <c r="FD1" s="19" t="str">
        <v>IL6</v>
      </c>
      <c r="FE1" s="19" t="str">
        <v>LE1</v>
      </c>
      <c r="FF1" s="19" t="str">
        <v>LE2</v>
      </c>
      <c r="FG1" s="19" t="str">
        <v>DB1</v>
      </c>
      <c r="FH1" s="19" t="str">
        <v>IS3</v>
      </c>
      <c r="FI1" s="19" t="str">
        <v>OE1</v>
      </c>
      <c r="FJ1" s="19" t="str">
        <v>KH1</v>
      </c>
      <c r="FK1" s="19" t="str">
        <v>EGL</v>
      </c>
      <c r="FL1" s="19" t="str">
        <v>CKT</v>
      </c>
      <c r="FM1" s="19" t="str">
        <v>KZ1</v>
      </c>
      <c r="FN1" s="19" t="str">
        <v>KZ3</v>
      </c>
      <c r="FO1" s="19" t="str">
        <v>LM1</v>
      </c>
      <c r="FP1" s="19" t="str">
        <v>KGT1</v>
      </c>
      <c r="FQ1" s="19" t="str">
        <v>KGT2</v>
      </c>
      <c r="FR1" s="19" t="str">
        <v>KGT3</v>
      </c>
      <c r="FS1" s="19" t="str">
        <v>KGT4</v>
      </c>
      <c r="FT1" s="19" t="str">
        <v>KGT6</v>
      </c>
      <c r="FU1" s="19" t="str">
        <v>KGT7</v>
      </c>
      <c r="FV1" s="19" t="str">
        <v>KC1</v>
      </c>
      <c r="FW1" s="19" t="str">
        <v>KU1</v>
      </c>
      <c r="FX1" s="19" t="str">
        <v>YW1</v>
      </c>
      <c r="FY1" s="19" t="str">
        <v>INW1_1</v>
      </c>
      <c r="FZ1" s="19" t="str">
        <v>UF1</v>
      </c>
      <c r="GA1" s="19" t="str">
        <v>BKL</v>
      </c>
      <c r="GB1" s="19" t="str">
        <v>LL1</v>
      </c>
      <c r="GC1" s="19" t="str">
        <v>CAR</v>
      </c>
      <c r="GD1" s="19" t="str">
        <v>CUH</v>
      </c>
      <c r="GE1" s="19" t="str">
        <v>BM1</v>
      </c>
      <c r="GF1" s="19" t="str">
        <v>SN1</v>
      </c>
      <c r="GG1" s="19" t="str">
        <v>ALT</v>
      </c>
      <c r="GH1" s="19" t="str">
        <v>AL2</v>
      </c>
      <c r="GI1" s="19" t="str">
        <v>NICG2</v>
      </c>
      <c r="GJ1" s="19" t="str">
        <v>LRP</v>
      </c>
      <c r="GK1" s="19" t="str">
        <v>BDP</v>
      </c>
      <c r="GL1" s="19" t="str">
        <v>MRP</v>
      </c>
      <c r="GM1" s="19" t="str">
        <v>BU1</v>
      </c>
      <c r="GN1" s="19" t="str">
        <v>LS1</v>
      </c>
      <c r="GO1" s="19" t="str">
        <v>LS2</v>
      </c>
      <c r="GP1" s="19" t="str">
        <v>LS3</v>
      </c>
      <c r="GQ1" s="19" t="str">
        <v>LA1</v>
      </c>
      <c r="GR1" s="19" t="str">
        <v>BY1</v>
      </c>
      <c r="GS1" s="19" t="str">
        <v>BY2</v>
      </c>
      <c r="GT1" s="19" t="str">
        <v>CK1</v>
      </c>
      <c r="GU1" s="19" t="str">
        <v>GT1</v>
      </c>
      <c r="GV1" s="19" t="str">
        <v>CNY</v>
      </c>
      <c r="GW1" s="19" t="str">
        <v>CUR</v>
      </c>
      <c r="GX1" s="19" t="str">
        <v>LO1</v>
      </c>
      <c r="GY1" s="19" t="str">
        <v>BN1</v>
      </c>
      <c r="GZ1" s="19" t="str">
        <v>JG1</v>
      </c>
      <c r="HA1" s="19" t="str">
        <v>CRI</v>
      </c>
      <c r="HB1" s="19" t="str">
        <v>CHU</v>
      </c>
      <c r="HC1" s="19" t="str">
        <v>TNG</v>
      </c>
      <c r="HD1" s="19" t="str">
        <v>SRN</v>
      </c>
      <c r="HE1" s="19" t="str">
        <v>TMA</v>
      </c>
      <c r="HF1" s="19" t="str">
        <v>GA2</v>
      </c>
      <c r="HG1" s="19" t="str">
        <v>RR2</v>
      </c>
      <c r="HH1" s="19" t="str">
        <v>VB1</v>
      </c>
      <c r="HI1" s="19" t="str">
        <v>MCT</v>
      </c>
      <c r="HJ1" s="19" t="str">
        <v>MP1</v>
      </c>
      <c r="HK1" s="19" t="str">
        <v>MP2</v>
      </c>
      <c r="HL1" s="19" t="str">
        <v>MP9</v>
      </c>
      <c r="HM1" s="19" t="str">
        <v>MP3</v>
      </c>
      <c r="HN1" s="19" t="str">
        <v>MO1</v>
      </c>
      <c r="HO1" s="19" t="str">
        <v>MB1</v>
      </c>
      <c r="HP1" s="19" t="str">
        <v>MB2</v>
      </c>
      <c r="HQ1" s="19" t="str">
        <v>DZ1</v>
      </c>
      <c r="HR1" s="19" t="str">
        <v>NW8</v>
      </c>
      <c r="HS1" s="19" t="str">
        <v>TB5</v>
      </c>
      <c r="HT1" s="19" t="str">
        <v>LEN</v>
      </c>
      <c r="HU1" s="19" t="str">
        <v>LEN1</v>
      </c>
      <c r="HV1" s="19" t="str">
        <v>HUN</v>
      </c>
      <c r="HW1" s="19" t="str">
        <v>TAP</v>
      </c>
      <c r="HX1" s="19" t="str">
        <v>SCR</v>
      </c>
      <c r="HY1" s="19" t="str">
        <v>LI1</v>
      </c>
      <c r="HZ1" s="19" t="str">
        <v>LI2</v>
      </c>
      <c r="IA1" s="19" t="str">
        <v>LI3</v>
      </c>
      <c r="IB1" s="19" t="str">
        <v>LI4</v>
      </c>
      <c r="IC1" s="19" t="str">
        <v>LI5</v>
      </c>
      <c r="ID1" s="19" t="str">
        <v>PB7</v>
      </c>
      <c r="IE1" s="19" t="str">
        <v>DW1</v>
      </c>
      <c r="IF1" s="19" t="str">
        <v>LMT</v>
      </c>
      <c r="IG1" s="19" t="str">
        <v>AVN</v>
      </c>
      <c r="IH1" s="19" t="str">
        <v>BNP</v>
      </c>
      <c r="II1" s="19" t="str">
        <v>GW1</v>
      </c>
      <c r="IJ1" s="19" t="str">
        <v>RC1</v>
      </c>
      <c r="IK1" s="19" t="str">
        <v>RT1</v>
      </c>
      <c r="IL1" s="19" t="str">
        <v>BD1</v>
      </c>
      <c r="IM1" s="19" t="str">
        <v>ML1</v>
      </c>
      <c r="IN1" s="19" t="str">
        <v>KM1</v>
      </c>
      <c r="IO1" s="19" t="str">
        <v>MU1</v>
      </c>
      <c r="IP1" s="19" t="str">
        <v>RO1</v>
      </c>
      <c r="IQ1" s="19" t="str">
        <v>LG1</v>
      </c>
      <c r="IR1" s="19" t="str">
        <v>AL1</v>
      </c>
      <c r="IS1" s="19" t="str">
        <v>SQ1</v>
      </c>
      <c r="IT1" s="19" t="str">
        <v>PBA</v>
      </c>
      <c r="IU1" s="19" t="str">
        <v>PBB</v>
      </c>
      <c r="IV1" s="19" t="str">
        <v>SK1</v>
      </c>
      <c r="IW1" s="19" t="str">
        <v>DN1</v>
      </c>
      <c r="IX1" s="19" t="str">
        <v>CMN</v>
      </c>
      <c r="IY1" s="19" t="str">
        <v>KF1</v>
      </c>
      <c r="IZ1" s="19" t="str">
        <v>TP1</v>
      </c>
      <c r="JA1" s="19" t="str">
        <v>TP3</v>
      </c>
      <c r="JB1" s="19" t="str">
        <v>AC1</v>
      </c>
      <c r="JC1" s="19" t="str">
        <v>BS1</v>
      </c>
      <c r="JD1" s="19" t="str">
        <v>YC2</v>
      </c>
      <c r="JE1" s="19" t="str">
        <v>TE1</v>
      </c>
      <c r="JF1" s="19" t="str">
        <v>BCW</v>
      </c>
      <c r="JG1" s="19" t="str">
        <v>TUR</v>
      </c>
      <c r="JH1" s="19" t="str">
        <v>GFB</v>
      </c>
      <c r="JI1" s="19" t="str">
        <v>CNR</v>
      </c>
      <c r="JJ1" s="19" t="str">
        <v>INT</v>
      </c>
      <c r="JK1" s="19" t="str">
        <v>CDN</v>
      </c>
      <c r="JL1" s="19" t="str">
        <v>CKD</v>
      </c>
      <c r="JM1" s="19" t="str">
        <v>KW2</v>
      </c>
      <c r="JN1" s="19" t="str">
        <v>TL1</v>
      </c>
      <c r="JO1" s="19" t="str">
        <v>MMR</v>
      </c>
      <c r="JP1" s="19" t="str">
        <v>TK1</v>
      </c>
      <c r="JQ1" s="19" t="str">
        <v>TH1</v>
      </c>
      <c r="JR1" s="19" t="str">
        <v>TH2</v>
      </c>
      <c r="JS1" s="19" t="str">
        <v>TH3</v>
      </c>
      <c r="JT1" s="19" t="str">
        <v>TH4</v>
      </c>
      <c r="JU1" s="19" t="str">
        <v>TYC</v>
      </c>
      <c r="JV1" s="19" t="str">
        <v>SO1</v>
      </c>
      <c r="JW1" s="19" t="str">
        <v>UG1</v>
      </c>
      <c r="JX1" s="19" t="str">
        <v>BX1</v>
      </c>
      <c r="JY1" s="19" t="str">
        <v>BX2</v>
      </c>
      <c r="JZ1" s="19" t="str">
        <v>CNS</v>
      </c>
      <c r="KA1" s="19" t="str">
        <v>RF1</v>
      </c>
      <c r="KB1" s="19" t="str">
        <v>WS1</v>
      </c>
      <c r="KC1" s="19"/>
      <c r="KD1" s="19"/>
      <c r="KE1" s="19"/>
      <c r="KF1" s="19"/>
      <c r="KG1" s="19"/>
      <c r="KH1" s="19"/>
      <c r="KI1" s="19"/>
    </row>
    <row r="2" spans="1:295" ht="15" customHeight="1" x14ac:dyDescent="0.3">
      <c r="A2" s="4" t="s">
        <v>34</v>
      </c>
      <c r="B2" s="19" cm="1">
        <f t="array" ref="B2:KB2">TRANSPOSE(_xlfn._xlws.FILTER(generator!$Q$2:$Q$295,generator!$J$2:$J$295&lt;&gt;0))</f>
        <v>10000</v>
      </c>
      <c r="C2" s="3">
        <v>9000</v>
      </c>
      <c r="D2" s="3">
        <v>9000</v>
      </c>
      <c r="E2" s="3">
        <v>9000</v>
      </c>
      <c r="F2" s="3">
        <v>9000</v>
      </c>
      <c r="G2" s="3">
        <v>9000</v>
      </c>
      <c r="H2" s="3">
        <v>9000</v>
      </c>
      <c r="I2" s="3">
        <v>9000</v>
      </c>
      <c r="J2" s="3">
        <v>9000</v>
      </c>
      <c r="K2" s="3" t="str">
        <v>108.19</v>
      </c>
      <c r="L2" s="3" t="str">
        <v>108.18</v>
      </c>
      <c r="M2" s="3" t="str">
        <v>108.17</v>
      </c>
      <c r="N2" s="3" t="str">
        <v>40.96</v>
      </c>
      <c r="O2" s="3">
        <v>9000</v>
      </c>
      <c r="P2" s="3">
        <v>9000</v>
      </c>
      <c r="Q2" s="3">
        <v>9000</v>
      </c>
      <c r="R2" s="3">
        <v>8000</v>
      </c>
      <c r="S2" s="3">
        <v>8000</v>
      </c>
      <c r="T2" s="3">
        <v>8000</v>
      </c>
      <c r="U2" s="3">
        <v>8000</v>
      </c>
      <c r="V2" s="3">
        <v>9000</v>
      </c>
      <c r="W2" s="3">
        <v>9000</v>
      </c>
      <c r="X2" s="3">
        <v>9000</v>
      </c>
      <c r="Y2" s="3">
        <v>9000</v>
      </c>
      <c r="Z2" s="3">
        <v>9000</v>
      </c>
      <c r="AA2" s="3">
        <v>0</v>
      </c>
      <c r="AB2" s="3">
        <v>0</v>
      </c>
      <c r="AC2" s="3" t="str">
        <v>246.74</v>
      </c>
      <c r="AD2" s="3" t="str">
        <v>246.74</v>
      </c>
      <c r="AE2" s="3" t="str">
        <v>79.19</v>
      </c>
      <c r="AF2" s="3" t="str">
        <v>75.91</v>
      </c>
      <c r="AG2" s="3" t="str">
        <v>75.91</v>
      </c>
      <c r="AH2" s="3">
        <v>10000</v>
      </c>
      <c r="AI2" s="3">
        <v>9000</v>
      </c>
      <c r="AJ2" s="3">
        <v>9000</v>
      </c>
      <c r="AK2" s="3">
        <v>9000</v>
      </c>
      <c r="AL2" s="3">
        <v>9000</v>
      </c>
      <c r="AM2" s="3">
        <v>9000</v>
      </c>
      <c r="AN2" s="3">
        <v>9000</v>
      </c>
      <c r="AO2" s="3">
        <v>8000</v>
      </c>
      <c r="AP2" s="3">
        <v>9000</v>
      </c>
      <c r="AQ2" s="3">
        <v>9000</v>
      </c>
      <c r="AR2" s="3">
        <v>9000</v>
      </c>
      <c r="AS2" s="3">
        <v>9000</v>
      </c>
      <c r="AT2" s="3">
        <v>9000</v>
      </c>
      <c r="AU2" s="3">
        <v>9000</v>
      </c>
      <c r="AV2" s="3">
        <v>9000</v>
      </c>
      <c r="AW2" s="3">
        <v>9000</v>
      </c>
      <c r="AX2" s="3">
        <v>9000</v>
      </c>
      <c r="AY2" s="3">
        <v>9000</v>
      </c>
      <c r="AZ2" s="3">
        <v>9000</v>
      </c>
      <c r="BA2" s="3">
        <v>9000</v>
      </c>
      <c r="BB2" s="3">
        <v>9000</v>
      </c>
      <c r="BC2" s="3">
        <v>9000</v>
      </c>
      <c r="BD2" s="3">
        <v>9000</v>
      </c>
      <c r="BE2" s="3">
        <v>9000</v>
      </c>
      <c r="BF2" s="3">
        <v>9000</v>
      </c>
      <c r="BG2" s="3">
        <v>9000</v>
      </c>
      <c r="BH2" s="3">
        <v>8000</v>
      </c>
      <c r="BI2" s="3">
        <v>9000</v>
      </c>
      <c r="BJ2" s="3">
        <v>9000</v>
      </c>
      <c r="BK2" s="3">
        <v>9000</v>
      </c>
      <c r="BL2" s="3">
        <v>8000</v>
      </c>
      <c r="BM2" s="3">
        <v>8000</v>
      </c>
      <c r="BN2" s="3">
        <v>9000</v>
      </c>
      <c r="BO2" s="3">
        <v>9000</v>
      </c>
      <c r="BP2" s="3">
        <v>9000</v>
      </c>
      <c r="BQ2" s="3">
        <v>9000</v>
      </c>
      <c r="BR2" s="3">
        <v>9000</v>
      </c>
      <c r="BS2" s="3">
        <v>9000</v>
      </c>
      <c r="BT2" s="3">
        <v>9000</v>
      </c>
      <c r="BU2" s="3">
        <v>9000</v>
      </c>
      <c r="BV2" s="3">
        <v>9000</v>
      </c>
      <c r="BW2" s="3">
        <v>8000</v>
      </c>
      <c r="BX2" s="3">
        <v>8000</v>
      </c>
      <c r="BY2" s="3">
        <v>9000</v>
      </c>
      <c r="BZ2" s="3">
        <v>9000</v>
      </c>
      <c r="CA2" s="3">
        <v>9000</v>
      </c>
      <c r="CB2" s="3">
        <v>9000</v>
      </c>
      <c r="CC2" s="3">
        <v>9000</v>
      </c>
      <c r="CD2" s="3">
        <v>9000</v>
      </c>
      <c r="CE2" s="3">
        <v>9000</v>
      </c>
      <c r="CF2" s="3">
        <v>9000</v>
      </c>
      <c r="CG2" s="3">
        <v>9000</v>
      </c>
      <c r="CH2" s="3">
        <v>8000</v>
      </c>
      <c r="CI2" s="3">
        <v>9000</v>
      </c>
      <c r="CJ2" s="3" t="str">
        <v>51.59</v>
      </c>
      <c r="CK2" s="3" t="str">
        <v>206.04</v>
      </c>
      <c r="CL2" s="3">
        <v>9000</v>
      </c>
      <c r="CM2" s="3">
        <v>9000</v>
      </c>
      <c r="CN2" s="3">
        <v>9000</v>
      </c>
      <c r="CO2" s="3">
        <v>9000</v>
      </c>
      <c r="CP2" s="3">
        <v>9000</v>
      </c>
      <c r="CQ2" s="3">
        <v>9000</v>
      </c>
      <c r="CR2" s="3">
        <v>9000</v>
      </c>
      <c r="CS2" s="3">
        <v>9000</v>
      </c>
      <c r="CT2" s="3">
        <v>9000</v>
      </c>
      <c r="CU2" s="3">
        <v>9000</v>
      </c>
      <c r="CV2" s="3">
        <v>9000</v>
      </c>
      <c r="CW2" s="3">
        <v>9000</v>
      </c>
      <c r="CX2" s="3" t="str">
        <v>111.57</v>
      </c>
      <c r="CY2" s="3">
        <v>9000</v>
      </c>
      <c r="CZ2" s="3">
        <v>9000</v>
      </c>
      <c r="DA2" s="3">
        <v>7000</v>
      </c>
      <c r="DB2" s="3" t="str">
        <v>506.96</v>
      </c>
      <c r="DC2" s="3" t="str">
        <v>506.95</v>
      </c>
      <c r="DD2" s="3">
        <v>9000</v>
      </c>
      <c r="DE2" s="3">
        <v>9000</v>
      </c>
      <c r="DF2" s="3">
        <v>9000</v>
      </c>
      <c r="DG2" s="3">
        <v>9000</v>
      </c>
      <c r="DH2" s="3" t="str">
        <v>190.97</v>
      </c>
      <c r="DI2" s="3" t="str">
        <v>190.97</v>
      </c>
      <c r="DJ2" s="3">
        <v>9000</v>
      </c>
      <c r="DK2" s="3">
        <v>9000</v>
      </c>
      <c r="DL2" s="3">
        <v>9000</v>
      </c>
      <c r="DM2" s="3">
        <v>0</v>
      </c>
      <c r="DN2" s="3">
        <v>9000</v>
      </c>
      <c r="DO2" s="3">
        <v>9000</v>
      </c>
      <c r="DP2" s="3">
        <v>9000</v>
      </c>
      <c r="DQ2" s="3">
        <v>9000</v>
      </c>
      <c r="DR2" s="3">
        <v>9000</v>
      </c>
      <c r="DS2" s="3">
        <v>9000</v>
      </c>
      <c r="DT2" s="3">
        <v>9000</v>
      </c>
      <c r="DU2" s="3">
        <v>9000</v>
      </c>
      <c r="DV2" s="3">
        <v>9000</v>
      </c>
      <c r="DW2" s="3" t="str">
        <v>125.79</v>
      </c>
      <c r="DX2" s="3">
        <v>9000</v>
      </c>
      <c r="DY2" s="3">
        <v>9000</v>
      </c>
      <c r="DZ2" s="3">
        <v>9000</v>
      </c>
      <c r="EA2" s="3">
        <v>9000</v>
      </c>
      <c r="EB2" s="3">
        <v>9000</v>
      </c>
      <c r="EC2" s="3">
        <v>9000</v>
      </c>
      <c r="ED2" s="3">
        <v>9000</v>
      </c>
      <c r="EE2" s="3">
        <v>9000</v>
      </c>
      <c r="EF2" s="3">
        <v>9000</v>
      </c>
      <c r="EG2" s="3" t="str">
        <v>48.65</v>
      </c>
      <c r="EH2" s="3">
        <v>9000</v>
      </c>
      <c r="EI2" s="3">
        <v>9000</v>
      </c>
      <c r="EJ2" s="3">
        <v>9000</v>
      </c>
      <c r="EK2" s="3">
        <v>9000</v>
      </c>
      <c r="EL2" s="3">
        <v>9000</v>
      </c>
      <c r="EM2" s="3">
        <v>9000</v>
      </c>
      <c r="EN2" s="3">
        <v>9000</v>
      </c>
      <c r="EO2" s="3">
        <v>9000</v>
      </c>
      <c r="EP2" s="3">
        <v>9000</v>
      </c>
      <c r="EQ2" s="3">
        <v>9000</v>
      </c>
      <c r="ER2" s="3">
        <v>9000</v>
      </c>
      <c r="ES2" s="3">
        <v>9000</v>
      </c>
      <c r="ET2" s="3">
        <v>9000</v>
      </c>
      <c r="EU2" s="3" t="str">
        <v>71.88</v>
      </c>
      <c r="EV2" s="3" t="str">
        <v>54.19</v>
      </c>
      <c r="EW2" s="3" t="str">
        <v>59.7</v>
      </c>
      <c r="EX2" s="3">
        <v>9000</v>
      </c>
      <c r="EY2" s="3" t="str">
        <v>98.17</v>
      </c>
      <c r="EZ2" s="3" t="str">
        <v>98.17</v>
      </c>
      <c r="FA2" s="3" t="str">
        <v>98.17</v>
      </c>
      <c r="FB2" s="3" t="str">
        <v>98.17</v>
      </c>
      <c r="FC2" s="3" t="str">
        <v>98.17</v>
      </c>
      <c r="FD2" s="3" t="str">
        <v>98.17</v>
      </c>
      <c r="FE2" s="3">
        <v>8000</v>
      </c>
      <c r="FF2" s="3">
        <v>8000</v>
      </c>
      <c r="FG2" s="3" t="str">
        <v>47.53</v>
      </c>
      <c r="FH2" s="3" t="str">
        <v>108.86</v>
      </c>
      <c r="FI2" s="3">
        <v>9000</v>
      </c>
      <c r="FJ2" s="3">
        <v>9000</v>
      </c>
      <c r="FK2" s="3">
        <v>9000</v>
      </c>
      <c r="FL2" s="3">
        <v>9000</v>
      </c>
      <c r="FM2" s="3">
        <v>9000</v>
      </c>
      <c r="FN2" s="3" t="str">
        <v>424.84</v>
      </c>
      <c r="FO2" s="3">
        <v>9000</v>
      </c>
      <c r="FP2" s="3" t="str">
        <v>425.9</v>
      </c>
      <c r="FQ2" s="3" t="str">
        <v>425.9</v>
      </c>
      <c r="FR2" s="3" t="str">
        <v>196.54</v>
      </c>
      <c r="FS2" s="3" t="str">
        <v>196.54</v>
      </c>
      <c r="FT2" s="3" t="str">
        <v>83.15</v>
      </c>
      <c r="FU2" s="3" t="str">
        <v>83.15</v>
      </c>
      <c r="FV2" s="3">
        <v>9000</v>
      </c>
      <c r="FW2" s="3">
        <v>9000</v>
      </c>
      <c r="FX2" s="3">
        <v>9000</v>
      </c>
      <c r="FY2" s="3">
        <v>9000</v>
      </c>
      <c r="FZ2" s="3">
        <v>9000</v>
      </c>
      <c r="GA2" s="3">
        <v>9000</v>
      </c>
      <c r="GB2" s="3">
        <v>9000</v>
      </c>
      <c r="GC2" s="3">
        <v>9000</v>
      </c>
      <c r="GD2" s="3">
        <v>9000</v>
      </c>
      <c r="GE2" s="3">
        <v>9000</v>
      </c>
      <c r="GF2" s="3">
        <v>9000</v>
      </c>
      <c r="GG2" s="3">
        <v>9000</v>
      </c>
      <c r="GH2" s="3">
        <v>9000</v>
      </c>
      <c r="GI2" s="3">
        <v>0</v>
      </c>
      <c r="GJ2" s="3">
        <v>9000</v>
      </c>
      <c r="GK2" s="3">
        <v>9000</v>
      </c>
      <c r="GL2" s="3">
        <v>9000</v>
      </c>
      <c r="GM2" s="3">
        <v>9000</v>
      </c>
      <c r="GN2" s="3">
        <v>9000</v>
      </c>
      <c r="GO2" s="3">
        <v>9000</v>
      </c>
      <c r="GP2" s="3">
        <v>9000</v>
      </c>
      <c r="GQ2" s="3">
        <v>9000</v>
      </c>
      <c r="GR2" s="3">
        <v>9000</v>
      </c>
      <c r="GS2" s="3">
        <v>9000</v>
      </c>
      <c r="GT2" s="3">
        <v>9000</v>
      </c>
      <c r="GU2" s="3">
        <v>9000</v>
      </c>
      <c r="GV2" s="3">
        <v>9000</v>
      </c>
      <c r="GW2" s="3">
        <v>9000</v>
      </c>
      <c r="GX2" s="3">
        <v>9000</v>
      </c>
      <c r="GY2" s="3">
        <v>9000</v>
      </c>
      <c r="GZ2" s="3">
        <v>9000</v>
      </c>
      <c r="HA2" s="3">
        <v>9000</v>
      </c>
      <c r="HB2" s="3">
        <v>9000</v>
      </c>
      <c r="HC2" s="3">
        <v>9000</v>
      </c>
      <c r="HD2" s="3">
        <v>9000</v>
      </c>
      <c r="HE2" s="3">
        <v>9000</v>
      </c>
      <c r="HF2" s="3">
        <v>9000</v>
      </c>
      <c r="HG2" s="3">
        <v>9000</v>
      </c>
      <c r="HH2" s="3">
        <v>9000</v>
      </c>
      <c r="HI2" s="3">
        <v>9000</v>
      </c>
      <c r="HJ2" s="3" t="str">
        <v>143</v>
      </c>
      <c r="HK2" s="3" t="str">
        <v>143</v>
      </c>
      <c r="HL2" s="3">
        <v>9000</v>
      </c>
      <c r="HM2" s="3" t="str">
        <v>143</v>
      </c>
      <c r="HN2" s="3">
        <v>9000</v>
      </c>
      <c r="HO2" s="3">
        <v>9000</v>
      </c>
      <c r="HP2" s="3">
        <v>9000</v>
      </c>
      <c r="HQ2" s="3">
        <v>9000</v>
      </c>
      <c r="HR2" s="3" t="str">
        <v>121.14</v>
      </c>
      <c r="HS2" s="3" t="str">
        <v>145.57</v>
      </c>
      <c r="HT2" s="3">
        <v>9000</v>
      </c>
      <c r="HU2" s="3">
        <v>9000</v>
      </c>
      <c r="HV2" s="3">
        <v>9000</v>
      </c>
      <c r="HW2" s="3">
        <v>9000</v>
      </c>
      <c r="HX2" s="3">
        <v>9000</v>
      </c>
      <c r="HY2" s="3">
        <v>8000</v>
      </c>
      <c r="HZ2" s="3">
        <v>8000</v>
      </c>
      <c r="IA2" s="3">
        <v>8000</v>
      </c>
      <c r="IB2" s="3">
        <v>8000</v>
      </c>
      <c r="IC2" s="3">
        <v>8000</v>
      </c>
      <c r="ID2" s="3" t="str">
        <v>108.86</v>
      </c>
      <c r="IE2" s="3">
        <v>0</v>
      </c>
      <c r="IF2" s="3">
        <v>9000</v>
      </c>
      <c r="IG2" s="3">
        <v>9000</v>
      </c>
      <c r="IH2" s="3">
        <v>9000</v>
      </c>
      <c r="II2" s="3">
        <v>9000</v>
      </c>
      <c r="IJ2" s="3">
        <v>9000</v>
      </c>
      <c r="IK2" s="3">
        <v>9000</v>
      </c>
      <c r="IL2" s="3">
        <v>9000</v>
      </c>
      <c r="IM2" s="3">
        <v>9000</v>
      </c>
      <c r="IN2" s="3">
        <v>9000</v>
      </c>
      <c r="IO2" s="3">
        <v>9000</v>
      </c>
      <c r="IP2" s="3">
        <v>9000</v>
      </c>
      <c r="IQ2" s="3">
        <v>9000</v>
      </c>
      <c r="IR2" s="3">
        <v>9000</v>
      </c>
      <c r="IS2" s="3" t="str">
        <v>132.62</v>
      </c>
      <c r="IT2" s="3" t="str">
        <v>77.63</v>
      </c>
      <c r="IU2" s="3" t="str">
        <v>77.64</v>
      </c>
      <c r="IV2" s="3">
        <v>9000</v>
      </c>
      <c r="IW2" s="3">
        <v>9000</v>
      </c>
      <c r="IX2" s="3" t="str">
        <v>331.49</v>
      </c>
      <c r="IY2" s="3">
        <v>9000</v>
      </c>
      <c r="IZ2" s="3" t="str">
        <v>193.76</v>
      </c>
      <c r="JA2" s="3" t="str">
        <v>193.76</v>
      </c>
      <c r="JB2" s="3">
        <v>9000</v>
      </c>
      <c r="JC2" s="3">
        <v>9000</v>
      </c>
      <c r="JD2" s="3">
        <v>9000</v>
      </c>
      <c r="JE2" s="3">
        <v>9000</v>
      </c>
      <c r="JF2" s="3">
        <v>9000</v>
      </c>
      <c r="JG2" s="3">
        <v>9000</v>
      </c>
      <c r="JH2" s="3">
        <v>9000</v>
      </c>
      <c r="JI2" s="3">
        <v>9000</v>
      </c>
      <c r="JJ2" s="3">
        <v>9000</v>
      </c>
      <c r="JK2" s="3">
        <v>9000</v>
      </c>
      <c r="JL2" s="3">
        <v>9000</v>
      </c>
      <c r="JM2" s="3">
        <v>9000</v>
      </c>
      <c r="JN2" s="3">
        <v>9000</v>
      </c>
      <c r="JO2" s="3">
        <v>9000</v>
      </c>
      <c r="JP2" s="3">
        <v>9000</v>
      </c>
      <c r="JQ2" s="3">
        <v>0</v>
      </c>
      <c r="JR2" s="3">
        <v>0</v>
      </c>
      <c r="JS2" s="3">
        <v>0</v>
      </c>
      <c r="JT2" s="3">
        <v>0</v>
      </c>
      <c r="JU2" s="3" t="str">
        <v>26.6</v>
      </c>
      <c r="JV2" s="3">
        <v>9000</v>
      </c>
      <c r="JW2" s="3">
        <v>9000</v>
      </c>
      <c r="JX2" s="3">
        <v>9000</v>
      </c>
      <c r="JY2" s="3">
        <v>9000</v>
      </c>
      <c r="JZ2" s="3">
        <v>9000</v>
      </c>
      <c r="KA2" s="3">
        <v>9000</v>
      </c>
      <c r="KB2" s="3">
        <v>9000</v>
      </c>
      <c r="KC2" s="3"/>
      <c r="KD2" s="3"/>
      <c r="KE2" s="3"/>
      <c r="KF2" s="3"/>
      <c r="KG2" s="3"/>
      <c r="KH2" s="3"/>
      <c r="KI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8" sqref="K28:K29"/>
    </sheetView>
  </sheetViews>
  <sheetFormatPr defaultColWidth="8.77734375" defaultRowHeight="14.4" x14ac:dyDescent="0.3"/>
  <cols>
    <col min="1" max="1025" width="8.44140625" customWidth="1"/>
  </cols>
  <sheetData>
    <row r="1" spans="1:1" x14ac:dyDescent="0.3">
      <c r="A1" s="1" t="s">
        <v>22</v>
      </c>
    </row>
    <row r="2" spans="1:1" x14ac:dyDescent="0.3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cd288e11850d22ee40981664a927e65e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b8a8939e80faa41470004db56e4a3333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DCC68-DE29-405F-AF91-B4AEFE460474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3f97e4a-4cde-4203-a712-a632ca730d07"/>
    <ds:schemaRef ds:uri="b352a690-13b6-446a-ad80-20b9a9231a5f"/>
    <ds:schemaRef ds:uri="http://schemas.microsoft.com/office/2006/metadata/properties"/>
    <ds:schemaRef ds:uri="http://www.w3.org/XML/1998/namespace"/>
    <ds:schemaRef ds:uri="3610aed6-0335-46d2-b190-87c476b048cc"/>
    <ds:schemaRef ds:uri="6dce361f-7b53-4909-8b0d-30e42626cdc9"/>
  </ds:schemaRefs>
</ds:datastoreItem>
</file>

<file path=customXml/itemProps2.xml><?xml version="1.0" encoding="utf-8"?>
<ds:datastoreItem xmlns:ds="http://schemas.openxmlformats.org/officeDocument/2006/customXml" ds:itemID="{19063C31-411A-4FED-97ED-8082117E98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bus</vt:lpstr>
      <vt:lpstr>demand</vt:lpstr>
      <vt:lpstr>ts_PD</vt:lpstr>
      <vt:lpstr>ts_VOLL</vt:lpstr>
      <vt:lpstr>branch</vt:lpstr>
      <vt:lpstr>ts_Lmax</vt:lpstr>
      <vt:lpstr>transformer</vt:lpstr>
      <vt:lpstr>ts_TLmax</vt:lpstr>
      <vt:lpstr>generator</vt:lpstr>
      <vt:lpstr>ts_PGMINGEN</vt:lpstr>
      <vt:lpstr>ts_PGLB</vt:lpstr>
      <vt:lpstr>ts_PGUB</vt:lpstr>
      <vt:lpstr>ts_bid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2025-10-02T08:29:17Z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